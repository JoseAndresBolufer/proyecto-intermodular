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f905ad3c8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219f88b67054cd6"/>
    <x:sheet xmlns:r="http://schemas.openxmlformats.org/officeDocument/2006/relationships" name="WBS detalle" sheetId="2" r:id="R57b2fad0d8a041f0"/>
    <x:sheet xmlns:r="http://schemas.openxmlformats.org/officeDocument/2006/relationships" name="Recursos" sheetId="3" r:id="R92277f4f3897425d"/>
    <x:sheet xmlns:r="http://schemas.openxmlformats.org/officeDocument/2006/relationships" name="Asignaciones" sheetId="4" r:id="Raff58d6aa50749ea"/>
    <x:sheet xmlns:r="http://schemas.openxmlformats.org/officeDocument/2006/relationships" name="Desviaciones final" sheetId="5" r:id="R905ad472e652474f"/>
    <x:sheet xmlns:r="http://schemas.openxmlformats.org/officeDocument/2006/relationships" name="Instrucciones" sheetId="6" r:id="R1bf846b6862c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€ #,##0"/>
    <x:numFmt numFmtId="202" formatCode="0%"/>
  </x:numFmts>
  <x:fonts count="4">
    <x:font>
      <x:sz val="11"/>
      <x:name val="Carlito"/>
    </x:font>
    <x:font>
      <x:b/>
      <x:sz val="16"/>
      <x:color rgb="1F4E79"/>
      <x:name val="Carlito"/>
    </x:font>
    <x:font>
      <x:b/>
      <x:sz val="11"/>
      <x:color rgb="1F4E79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0" borderId="1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2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201" fontId="3" borderId="0" xfId="0" applyNumberFormat="1" applyFont="1" applyFill="0" applyBorder="1"/>
    <x:xf numFmtId="201" fontId="3" borderId="1" xfId="0" applyNumberFormat="1" applyFont="1" applyFill="0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borderId="0" xfId="0" applyNumberFormat="1" applyFont="1" applyFill="0" applyBorder="1"/>
    <x:xf numFmtId="201" fontId="0" borderId="0" xfId="0" applyNumberFormat="1" applyFont="1" applyFill="0" applyBorder="1"/>
    <x:xf numFmtId="202" fontId="0" borderId="0" xfId="0" applyNumberFormat="1" applyFont="1" applyFill="0" applyBorder="1"/>
    <x:xf numFmtId="200" fontId="3" borderId="0" xfId="0" applyNumberFormat="1" applyFont="1" applyFill="0" applyBorder="1"/>
    <x:xf numFmtId="202" fontId="3" borderId="0" xfId="0" applyNumberFormat="1" applyFont="1" applyFill="0" applyBorder="1"/>
    <x:xf numFmtId="200" fontId="0" borderId="1" xfId="0" applyNumberFormat="1" applyFont="1" applyFill="0" applyBorder="1"/>
    <x:xf numFmtId="201" fontId="0" borderId="1" xfId="0" applyNumberFormat="1" applyFont="1" applyFill="0" applyBorder="1"/>
    <x:xf numFmtId="202" fontId="0" borderId="1" xfId="0" applyNumberFormat="1" applyFont="1" applyFill="0" applyBorder="1"/>
    <x:xf numFmtId="200" fontId="3" borderId="1" xfId="0" applyNumberFormat="1" applyFont="1" applyFill="0" applyBorder="1"/>
    <x:xf numFmtId="202" fontId="3" borderId="1" xfId="0" applyNumberFormat="1" applyFont="1" applyFill="0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201" fontId="3" borderId="0" xfId="0" applyNumberFormat="1" applyFont="1" applyFill="0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201" fontId="3" borderId="1" xfId="0" applyNumberFormat="1" applyFont="1" applyFill="0" applyBorder="1" applyAlignment="1">
      <x:alignment wrapText="1"/>
    </x:xf>
    <x:xf numFmtId="200" fontId="3" borderId="0" xfId="0" applyNumberFormat="1" applyFont="1" applyFill="0" applyBorder="1" applyAlignment="1">
      <x:alignment wrapText="1"/>
    </x:xf>
    <x:xf numFmtId="202" fontId="3" borderId="0" xfId="0" applyNumberFormat="1" applyFont="1" applyFill="0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3" borderId="1" xfId="0" applyNumberFormat="1" applyFont="1" applyFill="0" applyBorder="1" applyAlignment="1">
      <x:alignment wrapText="1"/>
    </x:xf>
    <x:xf numFmtId="202" fontId="3" borderId="1" xfId="0" applyNumberFormat="1" applyFont="1" applyFill="0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412f4d8324473" /><Relationship Type="http://schemas.openxmlformats.org/officeDocument/2006/relationships/theme" Target="/xl/theme/theme1.xml" Id="R8f7f926874cf49d5" /><Relationship Type="http://schemas.openxmlformats.org/officeDocument/2006/relationships/sharedStrings" Target="/xl/sharedStrings.xml" Id="R9ab796edf7a6499e" /><Relationship Type="http://schemas.openxmlformats.org/officeDocument/2006/relationships/worksheet" Target="/xl/worksheets/sheet1.xml" Id="Ra219f88b67054cd6" /><Relationship Type="http://schemas.openxmlformats.org/officeDocument/2006/relationships/worksheet" Target="/xl/worksheets/sheet2.xml" Id="R57b2fad0d8a041f0" /><Relationship Type="http://schemas.openxmlformats.org/officeDocument/2006/relationships/worksheet" Target="/xl/worksheets/sheet3.xml" Id="R92277f4f3897425d" /><Relationship Type="http://schemas.openxmlformats.org/officeDocument/2006/relationships/worksheet" Target="/xl/worksheets/sheet4.xml" Id="Raff58d6aa50749ea" /><Relationship Type="http://schemas.openxmlformats.org/officeDocument/2006/relationships/worksheet" Target="/xl/worksheets/sheet5.xml" Id="R905ad472e652474f" /><Relationship Type="http://schemas.openxmlformats.org/officeDocument/2006/relationships/worksheet" Target="/xl/worksheets/sheet6.xml" Id="R1bf846b6862c49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b728ecdafa40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Coste presupuestado por bloque WBS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Inicio</c:v>
          </c:tx>
          <c:cat>
            <c:strRef>
              <c:f>'Resumen'!$B$12:$B$19</c:f>
              <c:strCache>
                <c:ptCount val="0"/>
              </c:strCache>
            </c:strRef>
          </c:cat>
          <c:val>
            <c:numRef>
              <c:f>'Resumen'!$C$12:$C$19</c:f>
              <c:numCache>
                <c:formatCode>dd/mm/yyyy</c:formatCode>
                <c:ptCount val="0"/>
              </c:numCache>
            </c:numRef>
          </c:val>
        </c:ser>
        <c:ser>
          <c:idx val="1"/>
          <c:order val="1"/>
          <c:tx>
            <c:v>Fin</c:v>
          </c:tx>
          <c:cat>
            <c:strRef>
              <c:f>'Resumen'!$B$12:$B$19</c:f>
              <c:strCache>
                <c:ptCount val="0"/>
              </c:strCache>
            </c:strRef>
          </c:cat>
          <c:val>
            <c:numRef>
              <c:f>'Resumen'!$D$12:$D$19</c:f>
              <c:numCache>
                <c:formatCode>dd/mm/yyyy</c:formatCode>
                <c:ptCount val="0"/>
              </c:numCache>
            </c:numRef>
          </c:val>
        </c:ser>
        <c:ser>
          <c:idx val="2"/>
          <c:order val="2"/>
          <c:tx>
            <c:v>Duración planificada</c:v>
          </c:tx>
          <c:cat>
            <c:strRef>
              <c:f>'Resumen'!$B$12:$B$19</c:f>
              <c:strCache>
                <c:ptCount val="0"/>
              </c:strCache>
            </c:strRef>
          </c:cat>
          <c:val>
            <c:numRef>
              <c:f>'Resumen'!$E$12:$E$19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Coste presupuestado</c:v>
          </c:tx>
          <c:cat>
            <c:strRef>
              <c:f>'Resumen'!$B$12:$B$19</c:f>
              <c:strCache>
                <c:ptCount val="0"/>
              </c:strCache>
            </c:strRef>
          </c:cat>
          <c:val>
            <c:numRef>
              <c:f>'Resumen'!$F$12:$F$19</c:f>
              <c:numCache>
                <c:formatCode>€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b728ecdafa40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TablaWBSResumen" displayName="TablaWBSResumen" ref="A11:H20" headerRowCount="1">
  <x:tableColumns count="8">
    <x:tableColumn id="1" name="WBS"/>
    <x:tableColumn id="2" name="Bloque principal"/>
    <x:tableColumn id="3" name="Inicio"/>
    <x:tableColumn id="4" name="Fin"/>
    <x:tableColumn id="5" name="Duración planificada"/>
    <x:tableColumn id="6" name="Coste presupuestado"/>
    <x:tableColumn id="7" name="Coste final"/>
    <x:tableColumn id="8" name="Desviación coste"/>
  </x:tableColumns>
  <x:tableStyleInfo name="TableStyleMedium2" showRowStripes="1"/>
</x:table>
</file>

<file path=xl/tables/table2.xml><?xml version="1.0" encoding="utf-8"?>
<x:table xmlns:x="http://schemas.openxmlformats.org/spreadsheetml/2006/main" id="1" name="TablaWBSDetalle" displayName="TablaWBSDetalle" ref="A1:Q48" headerRowCount="1">
  <x:tableColumns count="17">
    <x:tableColumn id="1" name="ID"/>
    <x:tableColumn id="2" name="WBS"/>
    <x:tableColumn id="3" name="Nivel"/>
    <x:tableColumn id="4" name="Tarea"/>
    <x:tableColumn id="5" name="Tipo"/>
    <x:tableColumn id="6" name="Inicio"/>
    <x:tableColumn id="7" name="Fin"/>
    <x:tableColumn id="8" name="Duración (días)"/>
    <x:tableColumn id="9" name="Predecesoras"/>
    <x:tableColumn id="10" name="Recursos asignados"/>
    <x:tableColumn id="11" name="Nº recursos"/>
    <x:tableColumn id="12" name="Tarifa/hora media"/>
    <x:tableColumn id="13" name="Coste presupuestado"/>
    <x:tableColumn id="14" name="% avance inicial"/>
    <x:tableColumn id="15" name="Coste final"/>
    <x:tableColumn id="16" name="Desviación coste"/>
    <x:tableColumn id="17" name="Notas"/>
  </x:tableColumns>
  <x:tableStyleInfo name="TableStyleMedium2" showRowStripes="1"/>
</x:table>
</file>

<file path=xl/tables/table3.xml><?xml version="1.0" encoding="utf-8"?>
<x:table xmlns:x="http://schemas.openxmlformats.org/spreadsheetml/2006/main" id="4" name="TablaRecursos" displayName="TablaRecursos" ref="A1:G3" headerRowCount="1">
  <x:tableColumns count="7">
    <x:tableColumn id="1" name="Recurso"/>
    <x:tableColumn id="2" name="Rol previsto"/>
    <x:tableColumn id="3" name="Tarifa estándar"/>
    <x:tableColumn id="4" name="Tareas asignadas"/>
    <x:tableColumn id="5" name="Coste presupuestado"/>
    <x:tableColumn id="6" name="Carga inicial (días-tarea)"/>
    <x:tableColumn id="7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2" name="TablaAsignaciones" displayName="TablaAsignaciones" ref="A1:G55" headerRowCount="1">
  <x:tableColumns count="7">
    <x:tableColumn id="1" name="ID tarea"/>
    <x:tableColumn id="2" name="WBS"/>
    <x:tableColumn id="3" name="Tarea"/>
    <x:tableColumn id="4" name="Recurso"/>
    <x:tableColumn id="5" name="Duración asignada"/>
    <x:tableColumn id="6" name="Carga"/>
    <x:tableColumn id="7" name="Coste por recurso"/>
  </x:tableColumns>
  <x:tableStyleInfo name="TableStyleMedium2" showRowStripes="1"/>
</x:table>
</file>

<file path=xl/tables/table5.xml><?xml version="1.0" encoding="utf-8"?>
<x:table xmlns:x="http://schemas.openxmlformats.org/spreadsheetml/2006/main" id="5" name="TablaDesviaciones" displayName="TablaDesviaciones" ref="A4:L51" headerRowCount="1">
  <x:tableColumns count="12">
    <x:tableColumn id="1" name="ID"/>
    <x:tableColumn id="2" name="WBS"/>
    <x:tableColumn id="3" name="Tarea"/>
    <x:tableColumn id="4" name="Inicio previsto"/>
    <x:tableColumn id="5" name="Fin previsto"/>
    <x:tableColumn id="6" name="Duración prevista"/>
    <x:tableColumn id="7" name="Inicio real"/>
    <x:tableColumn id="8" name="Fin real"/>
    <x:tableColumn id="9" name="Duración real"/>
    <x:tableColumn id="10" name="Coste presupuestado"/>
    <x:tableColumn id="11" name="Coste final"/>
    <x:tableColumn id="12" name="Desviación cos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60cde6f5284b6e" /><Relationship Type="http://schemas.openxmlformats.org/officeDocument/2006/relationships/table" Target="/xl/tables/table1.xml" Id="R4c890207f69743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ddd306c5724d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45986321ef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c15cda9acc4f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7fbde05520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0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53125" hidden="0" customHeight="1">
      <x:c r="A1" s="2" t="str">
        <x:v>WBS y costes · Aplicación Web de Gestión Turística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/>
    <x:row r="3" ht="15" hidden="0" customHeight="1">
      <x:c r="A3" s="5" t="str">
        <x:v>Organización</x:v>
      </x:c>
      <x:c r="B3" t="str">
        <x:v>1º DAW Semipresencial - Proyecto Intermodular</x:v>
      </x:c>
      <x:c r="D3" s="12" t="str">
        <x:v>Indicador</x:v>
      </x:c>
      <x:c r="E3" s="12" t="str">
        <x:v>Valor</x:v>
      </x:c>
    </x:row>
    <x:row r="4" ht="15" hidden="0" customHeight="1">
      <x:c r="A4" s="5" t="str">
        <x:v>Repositorio / web</x:v>
      </x:c>
      <x:c r="B4" t="str">
        <x:v>https://github.com/JoseAndresBolufer/proyecto-intermodular/</x:v>
      </x:c>
      <x:c r="D4" s="5" t="str">
        <x:v>Coste presupuestado total</x:v>
      </x:c>
      <x:c r="E4" s="16" t="n">
        <x:v>1080</x:v>
      </x:c>
    </x:row>
    <x:row r="5" ht="15" hidden="0" customHeight="1">
      <x:c r="A5" s="5" t="str">
        <x:v>Inicio planificado</x:v>
      </x:c>
      <x:c r="B5" s="8" t="n">
        <x:v>46141</x:v>
      </x:c>
      <x:c r="D5" s="5" t="str">
        <x:v>Tareas operativas</x:v>
      </x:c>
      <x:c r="E5" t="n">
        <x:v>39</x:v>
      </x:c>
    </x:row>
    <x:row r="6" ht="15" hidden="0" customHeight="1">
      <x:c r="A6" s="5" t="str">
        <x:v>Fin planificado</x:v>
      </x:c>
      <x:c r="B6" s="8" t="n">
        <x:v>46170</x:v>
      </x:c>
      <x:c r="D6" s="5" t="str">
        <x:v>Duración agregada de subtareas</x:v>
      </x:c>
      <x:c r="E6" t="n">
        <x:v>39</x:v>
      </x:c>
    </x:row>
    <x:row r="7" ht="15" hidden="0" customHeight="1">
      <x:c r="A7" s="5" t="str">
        <x:v>Recursos</x:v>
      </x:c>
      <x:c r="B7" t="str">
        <x:v>Fran, Josan</x:v>
      </x:c>
    </x:row>
    <x:row r="8" ht="15" hidden="0" customHeight="1">
      <x:c r="A8" s="5" t="str">
        <x:v>Tarifa estándar</x:v>
      </x:c>
      <x:c r="B8" t="str">
        <x:v>20 €/hora por recurso</x:v>
      </x:c>
    </x:row>
    <x:row r="9"/>
    <x:row r="10"/>
    <x:row r="11" ht="15" hidden="0" customHeight="1">
      <x:c r="A11" s="12" t="str">
        <x:v>WBS</x:v>
      </x:c>
      <x:c r="B11" s="12" t="str">
        <x:v>Bloque principal</x:v>
      </x:c>
      <x:c r="C11" s="12" t="str">
        <x:v>Inicio</x:v>
      </x:c>
      <x:c r="D11" s="12" t="str">
        <x:v>Fin</x:v>
      </x:c>
      <x:c r="E11" s="12" t="str">
        <x:v>Duración planificada</x:v>
      </x:c>
      <x:c r="F11" s="12" t="str">
        <x:v>Coste presupuestado</x:v>
      </x:c>
      <x:c r="G11" s="12" t="str">
        <x:v>Coste final</x:v>
      </x:c>
      <x:c r="H11" s="12" t="str">
        <x:v>Desviación coste</x:v>
      </x:c>
    </x:row>
    <x:row r="12" ht="15" hidden="0" customHeight="1">
      <x:c r="A12" s="38" t="str">
        <x:v>1</x:v>
      </x:c>
      <x:c r="B12" s="38" t="str">
        <x:v>Inicio del proyecto</x:v>
      </x:c>
      <x:c r="C12" s="40" t="n">
        <x:v>46141</x:v>
      </x:c>
      <x:c r="D12" s="40" t="n">
        <x:v>46143</x:v>
      </x:c>
      <x:c r="E12" s="38" t="n">
        <x:v>3</x:v>
      </x:c>
      <x:c r="F12" s="41" t="n">
        <x:v>80</x:v>
      </x:c>
      <x:c r="G12" s="41" t="n">
        <x:f>INDEX('Desviaciones final'!K:K,MATCH(A12,'Desviaciones final'!B:B,0))</x:f>
        <x:v>80</x:v>
      </x:c>
      <x:c r="H12" s="41" t="n">
        <x:f>G12-F12</x:f>
        <x:v>0</x:v>
      </x:c>
    </x:row>
    <x:row r="13" ht="15" hidden="0" customHeight="1">
      <x:c r="A13" s="38" t="str">
        <x:v>2</x:v>
      </x:c>
      <x:c r="B13" s="38" t="str">
        <x:v>Análisis y planificación</x:v>
      </x:c>
      <x:c r="C13" s="40" t="n">
        <x:v>46142</x:v>
      </x:c>
      <x:c r="D13" s="40" t="n">
        <x:v>46146</x:v>
      </x:c>
      <x:c r="E13" s="38" t="n">
        <x:v>3</x:v>
      </x:c>
      <x:c r="F13" s="41" t="n">
        <x:v>100</x:v>
      </x:c>
      <x:c r="G13" s="41" t="n">
        <x:f>INDEX('Desviaciones final'!K:K,MATCH(A13,'Desviaciones final'!B:B,0))</x:f>
        <x:v>100</x:v>
      </x:c>
      <x:c r="H13" s="41" t="n">
        <x:f>G13-F13</x:f>
        <x:v>0</x:v>
      </x:c>
    </x:row>
    <x:row r="14" ht="15" hidden="0" customHeight="1">
      <x:c r="A14" s="38" t="str">
        <x:v>3</x:v>
      </x:c>
      <x:c r="B14" s="38" t="str">
        <x:v>Base de datos</x:v>
      </x:c>
      <x:c r="C14" s="40" t="n">
        <x:v>46143</x:v>
      </x:c>
      <x:c r="D14" s="40" t="n">
        <x:v>46149</x:v>
      </x:c>
      <x:c r="E14" s="38" t="n">
        <x:v>5</x:v>
      </x:c>
      <x:c r="F14" s="41" t="n">
        <x:v>100</x:v>
      </x:c>
      <x:c r="G14" s="41" t="n">
        <x:f>INDEX('Desviaciones final'!K:K,MATCH(A14,'Desviaciones final'!B:B,0))</x:f>
        <x:v>100</x:v>
      </x:c>
      <x:c r="H14" s="41" t="n">
        <x:f>G14-F14</x:f>
        <x:v>0</x:v>
      </x:c>
    </x:row>
    <x:row r="15" ht="15" hidden="0" customHeight="1">
      <x:c r="A15" s="38" t="str">
        <x:v>4</x:v>
      </x:c>
      <x:c r="B15" s="38" t="str">
        <x:v>Frontend HTML/CSS/JS</x:v>
      </x:c>
      <x:c r="C15" s="40" t="n">
        <x:v>46146</x:v>
      </x:c>
      <x:c r="D15" s="40" t="n">
        <x:v>46155</x:v>
      </x:c>
      <x:c r="E15" s="38" t="n">
        <x:v>8</x:v>
      </x:c>
      <x:c r="F15" s="41" t="n">
        <x:v>200</x:v>
      </x:c>
      <x:c r="G15" s="41" t="n">
        <x:f>INDEX('Desviaciones final'!K:K,MATCH(A15,'Desviaciones final'!B:B,0))</x:f>
        <x:v>200</x:v>
      </x:c>
      <x:c r="H15" s="41" t="n">
        <x:f>G15-F15</x:f>
        <x:v>0</x:v>
      </x:c>
    </x:row>
    <x:row r="16" ht="15" hidden="0" customHeight="1">
      <x:c r="A16" s="38" t="str">
        <x:v>5</x:v>
      </x:c>
      <x:c r="B16" s="38" t="str">
        <x:v>Backend Java</x:v>
      </x:c>
      <x:c r="C16" s="40" t="n">
        <x:v>46149</x:v>
      </x:c>
      <x:c r="D16" s="40" t="n">
        <x:v>46160</x:v>
      </x:c>
      <x:c r="E16" s="38" t="n">
        <x:v>8</x:v>
      </x:c>
      <x:c r="F16" s="41" t="n">
        <x:v>200</x:v>
      </x:c>
      <x:c r="G16" s="41" t="n">
        <x:f>INDEX('Desviaciones final'!K:K,MATCH(A16,'Desviaciones final'!B:B,0))</x:f>
        <x:v>200</x:v>
      </x:c>
      <x:c r="H16" s="41" t="n">
        <x:f>G16-F16</x:f>
        <x:v>0</x:v>
      </x:c>
    </x:row>
    <x:row r="17" ht="15" hidden="0" customHeight="1">
      <x:c r="A17" s="38" t="str">
        <x:v>6</x:v>
      </x:c>
      <x:c r="B17" s="38" t="str">
        <x:v>Integración frontend-backend</x:v>
      </x:c>
      <x:c r="C17" s="40" t="n">
        <x:v>46161</x:v>
      </x:c>
      <x:c r="D17" s="40" t="n">
        <x:v>46164</x:v>
      </x:c>
      <x:c r="E17" s="38" t="n">
        <x:v>4</x:v>
      </x:c>
      <x:c r="F17" s="41" t="n">
        <x:v>160</x:v>
      </x:c>
      <x:c r="G17" s="41" t="n">
        <x:f>INDEX('Desviaciones final'!K:K,MATCH(A17,'Desviaciones final'!B:B,0))</x:f>
        <x:v>160</x:v>
      </x:c>
      <x:c r="H17" s="41" t="n">
        <x:f>G17-F17</x:f>
        <x:v>0</x:v>
      </x:c>
    </x:row>
    <x:row r="18" ht="15" hidden="0" customHeight="1">
      <x:c r="A18" s="38" t="str">
        <x:v>7</x:v>
      </x:c>
      <x:c r="B18" s="38" t="str">
        <x:v>Documentación</x:v>
      </x:c>
      <x:c r="C18" s="40" t="n">
        <x:v>46147</x:v>
      </x:c>
      <x:c r="D18" s="40" t="n">
        <x:v>46167</x:v>
      </x:c>
      <x:c r="E18" s="38" t="n">
        <x:v>15</x:v>
      </x:c>
      <x:c r="F18" s="41" t="n">
        <x:v>120</x:v>
      </x:c>
      <x:c r="G18" s="41" t="n">
        <x:f>INDEX('Desviaciones final'!K:K,MATCH(A18,'Desviaciones final'!B:B,0))</x:f>
        <x:v>120</x:v>
      </x:c>
      <x:c r="H18" s="41" t="n">
        <x:f>G18-F18</x:f>
        <x:v>0</x:v>
      </x:c>
    </x:row>
    <x:row r="19" ht="15" hidden="0" customHeight="1">
      <x:c r="A19" s="38" t="str">
        <x:v>8</x:v>
      </x:c>
      <x:c r="B19" s="38" t="str">
        <x:v>Revisión y entrega</x:v>
      </x:c>
      <x:c r="C19" s="40" t="n">
        <x:v>46168</x:v>
      </x:c>
      <x:c r="D19" s="40" t="n">
        <x:v>46170</x:v>
      </x:c>
      <x:c r="E19" s="38" t="n">
        <x:v>3</x:v>
      </x:c>
      <x:c r="F19" s="41" t="n">
        <x:v>120</x:v>
      </x:c>
      <x:c r="G19" s="41" t="n">
        <x:f>INDEX('Desviaciones final'!K:K,MATCH(A19,'Desviaciones final'!B:B,0))</x:f>
        <x:v>120</x:v>
      </x:c>
      <x:c r="H19" s="41" t="n">
        <x:f>G19-F19</x:f>
        <x:v>0</x:v>
      </x:c>
    </x:row>
    <x:row r="20" ht="15" hidden="0" customHeight="1">
      <x:c r="A20" s="38"/>
      <x:c r="B20" s="38"/>
      <x:c r="C20" s="38"/>
      <x:c r="D20" s="42" t="str">
        <x:v>Total</x:v>
      </x:c>
      <x:c r="E20" s="42" t="str"/>
      <x:c r="F20" s="43" t="n">
        <x:f>SUM(F12:F19)</x:f>
        <x:v>1080</x:v>
      </x:c>
      <x:c r="G20" s="43" t="n">
        <x:f>SUM(G12:G19)</x:f>
        <x:v>1080</x:v>
      </x:c>
      <x:c r="H20" s="43" t="n">
        <x:f>SUM(H12:H19)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960cde6f5284b6e"/>
  <x:tableParts count="1">
    <x:tablePart xmlns:r="http://schemas.openxmlformats.org/officeDocument/2006/relationships" r:id="R4c890207f69743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7" hidden="0" customWidth="1"/>
    <x:col min="4" max="4" width="42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12" t="str">
        <x:v>ID</x:v>
      </x:c>
      <x:c r="B1" s="12" t="str">
        <x:v>WBS</x:v>
      </x:c>
      <x:c r="C1" s="12" t="str">
        <x:v>Nivel</x:v>
      </x:c>
      <x:c r="D1" s="12" t="str">
        <x:v>Tarea</x:v>
      </x:c>
      <x:c r="E1" s="12" t="str">
        <x:v>Tipo</x:v>
      </x:c>
      <x:c r="F1" s="12" t="str">
        <x:v>Inicio</x:v>
      </x:c>
      <x:c r="G1" s="12" t="str">
        <x:v>Fin</x:v>
      </x:c>
      <x:c r="H1" s="12" t="str">
        <x:v>Duración (días)</x:v>
      </x:c>
      <x:c r="I1" s="12" t="str">
        <x:v>Predecesoras</x:v>
      </x:c>
      <x:c r="J1" s="12" t="str">
        <x:v>Recursos asignados</x:v>
      </x:c>
      <x:c r="K1" s="12" t="str">
        <x:v>Nº recursos</x:v>
      </x:c>
      <x:c r="L1" s="12" t="str">
        <x:v>Tarifa/hora media</x:v>
      </x:c>
      <x:c r="M1" s="12" t="str">
        <x:v>Coste presupuestado</x:v>
      </x:c>
      <x:c r="N1" s="12" t="str">
        <x:v>% avance inicial</x:v>
      </x:c>
      <x:c r="O1" s="12" t="str">
        <x:v>Coste final</x:v>
      </x:c>
      <x:c r="P1" s="12" t="str">
        <x:v>Desviación coste</x:v>
      </x:c>
      <x:c r="Q1" s="12" t="str">
        <x:v>Notas</x:v>
      </x:c>
    </x:row>
    <x:row r="2" ht="15" hidden="0" customHeight="1">
      <x:c r="A2" s="42" t="n">
        <x:v>0</x:v>
      </x:c>
      <x:c r="B2" s="42" t="str">
        <x:v>1</x:v>
      </x:c>
      <x:c r="C2" s="42" t="n">
        <x:v>1</x:v>
      </x:c>
      <x:c r="D2" s="42" t="str">
        <x:v>Inicio del proyecto</x:v>
      </x:c>
      <x:c r="E2" s="42" t="str">
        <x:v>Resumen</x:v>
      </x:c>
      <x:c r="F2" s="48" t="n">
        <x:v>46141</x:v>
      </x:c>
      <x:c r="G2" s="48" t="n">
        <x:v>46143</x:v>
      </x:c>
      <x:c r="H2" s="42" t="n">
        <x:v>3</x:v>
      </x:c>
      <x:c r="I2" s="42" t="str"/>
      <x:c r="J2" s="42" t="str">
        <x:v>Resumen</x:v>
      </x:c>
      <x:c r="K2" s="42" t="str"/>
      <x:c r="L2" s="43" t="str"/>
      <x:c r="M2" s="43" t="n">
        <x:v>80</x:v>
      </x:c>
      <x:c r="N2" s="49" t="n">
        <x:v>0</x:v>
      </x:c>
      <x:c r="O2" s="43" t="n">
        <x:f>'Desviaciones final'!K5</x:f>
        <x:v>80</x:v>
      </x:c>
      <x:c r="P2" s="43" t="n">
        <x:f>O2-M2</x:f>
        <x:v>0</x:v>
      </x:c>
      <x:c r="Q2" s="42" t="str"/>
    </x:row>
    <x:row r="3" ht="15" hidden="0" customHeight="1">
      <x:c r="A3" s="38" t="n">
        <x:v>8</x:v>
      </x:c>
      <x:c r="B3" s="38" t="str">
        <x:v>1.1</x:v>
      </x:c>
      <x:c r="C3" s="38" t="n">
        <x:v>2</x:v>
      </x:c>
      <x:c r="D3" s="38" t="str">
        <x:v>Lectura del enunciado y reparto de roles</x:v>
      </x:c>
      <x:c r="E3" s="38" t="str">
        <x:v>Tarea</x:v>
      </x:c>
      <x:c r="F3" s="40" t="n">
        <x:v>46141</x:v>
      </x:c>
      <x:c r="G3" s="40" t="n">
        <x:v>46141</x:v>
      </x:c>
      <x:c r="H3" s="38" t="n">
        <x:v>1</x:v>
      </x:c>
      <x:c r="I3" s="38" t="str"/>
      <x:c r="J3" s="38" t="str">
        <x:v>Fran, Josan</x:v>
      </x:c>
      <x:c r="K3" s="38" t="n">
        <x:v>2</x:v>
      </x:c>
      <x:c r="L3" s="41" t="n">
        <x:v>20</x:v>
      </x:c>
      <x:c r="M3" s="41" t="n">
        <x:v>40</x:v>
      </x:c>
      <x:c r="N3" s="50" t="n">
        <x:v>0</x:v>
      </x:c>
      <x:c r="O3" s="41" t="n">
        <x:f>'Desviaciones final'!K6</x:f>
        <x:v>40</x:v>
      </x:c>
      <x:c r="P3" s="41" t="n">
        <x:f>O3-M3</x:f>
        <x:v>0</x:v>
      </x:c>
      <x:c r="Q3" s="38" t="str"/>
    </x:row>
    <x:row r="4" ht="15" hidden="0" customHeight="1">
      <x:c r="A4" s="38" t="n">
        <x:v>10</x:v>
      </x:c>
      <x:c r="B4" s="38" t="str">
        <x:v>1.2</x:v>
      </x:c>
      <x:c r="C4" s="38" t="n">
        <x:v>2</x:v>
      </x:c>
      <x:c r="D4" s="38" t="str">
        <x:v>Creación del repositorio GitHub</x:v>
      </x:c>
      <x:c r="E4" s="38" t="str">
        <x:v>Tarea</x:v>
      </x:c>
      <x:c r="F4" s="40" t="n">
        <x:v>46142</x:v>
      </x:c>
      <x:c r="G4" s="40" t="n">
        <x:v>46142</x:v>
      </x:c>
      <x:c r="H4" s="38" t="n">
        <x:v>1</x:v>
      </x:c>
      <x:c r="I4" s="38" t="str">
        <x:v>1.1</x:v>
      </x:c>
      <x:c r="J4" s="38" t="str">
        <x:v>Josan</x:v>
      </x:c>
      <x:c r="K4" s="38" t="n">
        <x:v>1</x:v>
      </x:c>
      <x:c r="L4" s="41" t="n">
        <x:v>20</x:v>
      </x:c>
      <x:c r="M4" s="41" t="n">
        <x:v>20</x:v>
      </x:c>
      <x:c r="N4" s="50" t="n">
        <x:v>0</x:v>
      </x:c>
      <x:c r="O4" s="41" t="n">
        <x:f>'Desviaciones final'!K7</x:f>
        <x:v>20</x:v>
      </x:c>
      <x:c r="P4" s="41" t="n">
        <x:f>O4-M4</x:f>
        <x:v>0</x:v>
      </x:c>
      <x:c r="Q4" s="38" t="str"/>
    </x:row>
    <x:row r="5" ht="15" hidden="0" customHeight="1">
      <x:c r="A5" s="38" t="n">
        <x:v>11</x:v>
      </x:c>
      <x:c r="B5" s="38" t="str">
        <x:v>1.3</x:v>
      </x:c>
      <x:c r="C5" s="38" t="n">
        <x:v>2</x:v>
      </x:c>
      <x:c r="D5" s="38" t="str">
        <x:v>Configuración inicial GitFlow</x:v>
      </x:c>
      <x:c r="E5" s="38" t="str">
        <x:v>Tarea</x:v>
      </x:c>
      <x:c r="F5" s="40" t="n">
        <x:v>46143</x:v>
      </x:c>
      <x:c r="G5" s="40" t="n">
        <x:v>46143</x:v>
      </x:c>
      <x:c r="H5" s="38" t="n">
        <x:v>1</x:v>
      </x:c>
      <x:c r="I5" s="38" t="str">
        <x:v>1.2</x:v>
      </x:c>
      <x:c r="J5" s="38" t="str">
        <x:v>Josan</x:v>
      </x:c>
      <x:c r="K5" s="38" t="n">
        <x:v>1</x:v>
      </x:c>
      <x:c r="L5" s="41" t="n">
        <x:v>20</x:v>
      </x:c>
      <x:c r="M5" s="41" t="n">
        <x:v>20</x:v>
      </x:c>
      <x:c r="N5" s="50" t="n">
        <x:v>0</x:v>
      </x:c>
      <x:c r="O5" s="41" t="n">
        <x:f>'Desviaciones final'!K8</x:f>
        <x:v>20</x:v>
      </x:c>
      <x:c r="P5" s="41" t="n">
        <x:f>O5-M5</x:f>
        <x:v>0</x:v>
      </x:c>
      <x:c r="Q5" s="38" t="str"/>
    </x:row>
    <x:row r="6" ht="15" hidden="0" customHeight="1">
      <x:c r="A6" s="42" t="n">
        <x:v>1</x:v>
      </x:c>
      <x:c r="B6" s="42" t="str">
        <x:v>2</x:v>
      </x:c>
      <x:c r="C6" s="42" t="n">
        <x:v>1</x:v>
      </x:c>
      <x:c r="D6" s="42" t="str">
        <x:v>Análisis y planificación</x:v>
      </x:c>
      <x:c r="E6" s="42" t="str">
        <x:v>Resumen</x:v>
      </x:c>
      <x:c r="F6" s="48" t="n">
        <x:v>46142</x:v>
      </x:c>
      <x:c r="G6" s="48" t="n">
        <x:v>46146</x:v>
      </x:c>
      <x:c r="H6" s="42" t="n">
        <x:v>3</x:v>
      </x:c>
      <x:c r="I6" s="42" t="str"/>
      <x:c r="J6" s="42" t="str">
        <x:v>Resumen</x:v>
      </x:c>
      <x:c r="K6" s="42" t="str"/>
      <x:c r="L6" s="43" t="str"/>
      <x:c r="M6" s="43" t="n">
        <x:v>100</x:v>
      </x:c>
      <x:c r="N6" s="49" t="n">
        <x:v>0</x:v>
      </x:c>
      <x:c r="O6" s="43" t="n">
        <x:f>'Desviaciones final'!K9</x:f>
        <x:v>100</x:v>
      </x:c>
      <x:c r="P6" s="43" t="n">
        <x:f>O6-M6</x:f>
        <x:v>0</x:v>
      </x:c>
      <x:c r="Q6" s="42" t="str"/>
    </x:row>
    <x:row r="7" ht="15" hidden="0" customHeight="1">
      <x:c r="A7" s="38" t="n">
        <x:v>12</x:v>
      </x:c>
      <x:c r="B7" s="38" t="str">
        <x:v>2.1</x:v>
      </x:c>
      <x:c r="C7" s="38" t="n">
        <x:v>2</x:v>
      </x:c>
      <x:c r="D7" s="38" t="str">
        <x:v>Análisis de requisitos</x:v>
      </x:c>
      <x:c r="E7" s="38" t="str">
        <x:v>Tarea</x:v>
      </x:c>
      <x:c r="F7" s="40" t="n">
        <x:v>46142</x:v>
      </x:c>
      <x:c r="G7" s="40" t="n">
        <x:v>46142</x:v>
      </x:c>
      <x:c r="H7" s="38" t="n">
        <x:v>1</x:v>
      </x:c>
      <x:c r="I7" s="38" t="str">
        <x:v>1.1</x:v>
      </x:c>
      <x:c r="J7" s="38" t="str">
        <x:v>Fran, Josan</x:v>
      </x:c>
      <x:c r="K7" s="38" t="n">
        <x:v>2</x:v>
      </x:c>
      <x:c r="L7" s="41" t="n">
        <x:v>20</x:v>
      </x:c>
      <x:c r="M7" s="41" t="n">
        <x:v>40</x:v>
      </x:c>
      <x:c r="N7" s="50" t="n">
        <x:v>0</x:v>
      </x:c>
      <x:c r="O7" s="41" t="n">
        <x:f>'Desviaciones final'!K10</x:f>
        <x:v>40</x:v>
      </x:c>
      <x:c r="P7" s="41" t="n">
        <x:f>O7-M7</x:f>
        <x:v>0</x:v>
      </x:c>
      <x:c r="Q7" s="38" t="str"/>
    </x:row>
    <x:row r="8" ht="15" hidden="0" customHeight="1">
      <x:c r="A8" s="38" t="n">
        <x:v>9</x:v>
      </x:c>
      <x:c r="B8" s="38" t="str">
        <x:v>2.2</x:v>
      </x:c>
      <x:c r="C8" s="38" t="n">
        <x:v>2</x:v>
      </x:c>
      <x:c r="D8" s="38" t="str">
        <x:v>Definición de tareas del proyecto</x:v>
      </x:c>
      <x:c r="E8" s="38" t="str">
        <x:v>Tarea</x:v>
      </x:c>
      <x:c r="F8" s="40" t="n">
        <x:v>46143</x:v>
      </x:c>
      <x:c r="G8" s="40" t="n">
        <x:v>46143</x:v>
      </x:c>
      <x:c r="H8" s="38" t="n">
        <x:v>1</x:v>
      </x:c>
      <x:c r="I8" s="38" t="str">
        <x:v>2.1</x:v>
      </x:c>
      <x:c r="J8" s="38" t="str">
        <x:v>Fran, Josan</x:v>
      </x:c>
      <x:c r="K8" s="38" t="n">
        <x:v>2</x:v>
      </x:c>
      <x:c r="L8" s="41" t="n">
        <x:v>20</x:v>
      </x:c>
      <x:c r="M8" s="41" t="n">
        <x:v>40</x:v>
      </x:c>
      <x:c r="N8" s="50" t="n">
        <x:v>0</x:v>
      </x:c>
      <x:c r="O8" s="41" t="n">
        <x:f>'Desviaciones final'!K11</x:f>
        <x:v>40</x:v>
      </x:c>
      <x:c r="P8" s="41" t="n">
        <x:f>O8-M8</x:f>
        <x:v>0</x:v>
      </x:c>
      <x:c r="Q8" s="38" t="str"/>
    </x:row>
    <x:row r="9" ht="15" hidden="0" customHeight="1">
      <x:c r="A9" s="38" t="n">
        <x:v>13</x:v>
      </x:c>
      <x:c r="B9" s="38" t="str">
        <x:v>2.3</x:v>
      </x:c>
      <x:c r="C9" s="38" t="n">
        <x:v>2</x:v>
      </x:c>
      <x:c r="D9" s="38" t="str">
        <x:v>Creación del Gantt inicial y línea base</x:v>
      </x:c>
      <x:c r="E9" s="38" t="str">
        <x:v>Tarea</x:v>
      </x:c>
      <x:c r="F9" s="40" t="n">
        <x:v>46146</x:v>
      </x:c>
      <x:c r="G9" s="40" t="n">
        <x:v>46146</x:v>
      </x:c>
      <x:c r="H9" s="38" t="n">
        <x:v>1</x:v>
      </x:c>
      <x:c r="I9" s="38" t="str">
        <x:v>2.2</x:v>
      </x:c>
      <x:c r="J9" s="38" t="str">
        <x:v>Josan</x:v>
      </x:c>
      <x:c r="K9" s="38" t="n">
        <x:v>1</x:v>
      </x:c>
      <x:c r="L9" s="41" t="n">
        <x:v>20</x:v>
      </x:c>
      <x:c r="M9" s="41" t="n">
        <x:v>20</x:v>
      </x:c>
      <x:c r="N9" s="50" t="n">
        <x:v>0</x:v>
      </x:c>
      <x:c r="O9" s="41" t="n">
        <x:f>'Desviaciones final'!K12</x:f>
        <x:v>20</x:v>
      </x:c>
      <x:c r="P9" s="41" t="n">
        <x:f>O9-M9</x:f>
        <x:v>0</x:v>
      </x:c>
      <x:c r="Q9" s="38" t="str"/>
    </x:row>
    <x:row r="10" ht="15" hidden="0" customHeight="1">
      <x:c r="A10" s="42" t="n">
        <x:v>2</x:v>
      </x:c>
      <x:c r="B10" s="42" t="str">
        <x:v>3</x:v>
      </x:c>
      <x:c r="C10" s="42" t="n">
        <x:v>1</x:v>
      </x:c>
      <x:c r="D10" s="42" t="str">
        <x:v>Base de datos</x:v>
      </x:c>
      <x:c r="E10" s="42" t="str">
        <x:v>Resumen</x:v>
      </x:c>
      <x:c r="F10" s="48" t="n">
        <x:v>46143</x:v>
      </x:c>
      <x:c r="G10" s="48" t="n">
        <x:v>46149</x:v>
      </x:c>
      <x:c r="H10" s="42" t="n">
        <x:v>5</x:v>
      </x:c>
      <x:c r="I10" s="42" t="str"/>
      <x:c r="J10" s="42" t="str">
        <x:v>Resumen</x:v>
      </x:c>
      <x:c r="K10" s="42" t="str"/>
      <x:c r="L10" s="43" t="str"/>
      <x:c r="M10" s="43" t="n">
        <x:v>100</x:v>
      </x:c>
      <x:c r="N10" s="49" t="n">
        <x:v>0</x:v>
      </x:c>
      <x:c r="O10" s="43" t="n">
        <x:f>'Desviaciones final'!K13</x:f>
        <x:v>100</x:v>
      </x:c>
      <x:c r="P10" s="43" t="n">
        <x:f>O10-M10</x:f>
        <x:v>0</x:v>
      </x:c>
      <x:c r="Q10" s="42" t="str"/>
    </x:row>
    <x:row r="11" ht="15" hidden="0" customHeight="1">
      <x:c r="A11" s="38" t="n">
        <x:v>14</x:v>
      </x:c>
      <x:c r="B11" s="38" t="str">
        <x:v>3.1</x:v>
      </x:c>
      <x:c r="C11" s="38" t="n">
        <x:v>2</x:v>
      </x:c>
      <x:c r="D11" s="38" t="str">
        <x:v>Diseño Entidad-Relación</x:v>
      </x:c>
      <x:c r="E11" s="38" t="str">
        <x:v>Tarea</x:v>
      </x:c>
      <x:c r="F11" s="40" t="n">
        <x:v>46143</x:v>
      </x:c>
      <x:c r="G11" s="40" t="n">
        <x:v>46143</x:v>
      </x:c>
      <x:c r="H11" s="38" t="n">
        <x:v>1</x:v>
      </x:c>
      <x:c r="I11" s="38" t="str">
        <x:v>2.1</x:v>
      </x:c>
      <x:c r="J11" s="38" t="str">
        <x:v>Fran</x:v>
      </x:c>
      <x:c r="K11" s="38" t="n">
        <x:v>1</x:v>
      </x:c>
      <x:c r="L11" s="41" t="n">
        <x:v>20</x:v>
      </x:c>
      <x:c r="M11" s="41" t="n">
        <x:v>20</x:v>
      </x:c>
      <x:c r="N11" s="50" t="n">
        <x:v>0</x:v>
      </x:c>
      <x:c r="O11" s="41" t="n">
        <x:f>'Desviaciones final'!K14</x:f>
        <x:v>20</x:v>
      </x:c>
      <x:c r="P11" s="41" t="n">
        <x:f>O11-M11</x:f>
        <x:v>0</x:v>
      </x:c>
      <x:c r="Q11" s="38" t="str"/>
    </x:row>
    <x:row r="12" ht="15" hidden="0" customHeight="1">
      <x:c r="A12" s="38" t="n">
        <x:v>15</x:v>
      </x:c>
      <x:c r="B12" s="38" t="str">
        <x:v>3.2</x:v>
      </x:c>
      <x:c r="C12" s="38" t="n">
        <x:v>2</x:v>
      </x:c>
      <x:c r="D12" s="38" t="str">
        <x:v>Diseño del modelo relacional</x:v>
      </x:c>
      <x:c r="E12" s="38" t="str">
        <x:v>Tarea</x:v>
      </x:c>
      <x:c r="F12" s="40" t="n">
        <x:v>46146</x:v>
      </x:c>
      <x:c r="G12" s="40" t="n">
        <x:v>46146</x:v>
      </x:c>
      <x:c r="H12" s="38" t="n">
        <x:v>1</x:v>
      </x:c>
      <x:c r="I12" s="38" t="str">
        <x:v>3.1</x:v>
      </x:c>
      <x:c r="J12" s="38" t="str">
        <x:v>Fran</x:v>
      </x:c>
      <x:c r="K12" s="38" t="n">
        <x:v>1</x:v>
      </x:c>
      <x:c r="L12" s="41" t="n">
        <x:v>20</x:v>
      </x:c>
      <x:c r="M12" s="41" t="n">
        <x:v>20</x:v>
      </x:c>
      <x:c r="N12" s="50" t="n">
        <x:v>0</x:v>
      </x:c>
      <x:c r="O12" s="41" t="n">
        <x:f>'Desviaciones final'!K15</x:f>
        <x:v>20</x:v>
      </x:c>
      <x:c r="P12" s="41" t="n">
        <x:f>O12-M12</x:f>
        <x:v>0</x:v>
      </x:c>
      <x:c r="Q12" s="38" t="str"/>
    </x:row>
    <x:row r="13" ht="15" hidden="0" customHeight="1">
      <x:c r="A13" s="38" t="n">
        <x:v>16</x:v>
      </x:c>
      <x:c r="B13" s="38" t="str">
        <x:v>3.3</x:v>
      </x:c>
      <x:c r="C13" s="38" t="n">
        <x:v>2</x:v>
      </x:c>
      <x:c r="D13" s="38" t="str">
        <x:v>Diseño del esquema físico</x:v>
      </x:c>
      <x:c r="E13" s="38" t="str">
        <x:v>Tarea</x:v>
      </x:c>
      <x:c r="F13" s="40" t="n">
        <x:v>46147</x:v>
      </x:c>
      <x:c r="G13" s="40" t="n">
        <x:v>46147</x:v>
      </x:c>
      <x:c r="H13" s="38" t="n">
        <x:v>1</x:v>
      </x:c>
      <x:c r="I13" s="38" t="str">
        <x:v>3.2</x:v>
      </x:c>
      <x:c r="J13" s="38" t="str">
        <x:v>Fran</x:v>
      </x:c>
      <x:c r="K13" s="38" t="n">
        <x:v>1</x:v>
      </x:c>
      <x:c r="L13" s="41" t="n">
        <x:v>20</x:v>
      </x:c>
      <x:c r="M13" s="41" t="n">
        <x:v>20</x:v>
      </x:c>
      <x:c r="N13" s="50" t="n">
        <x:v>0</x:v>
      </x:c>
      <x:c r="O13" s="41" t="n">
        <x:f>'Desviaciones final'!K16</x:f>
        <x:v>20</x:v>
      </x:c>
      <x:c r="P13" s="41" t="n">
        <x:f>O13-M13</x:f>
        <x:v>0</x:v>
      </x:c>
      <x:c r="Q13" s="38" t="str"/>
    </x:row>
    <x:row r="14" ht="15" hidden="0" customHeight="1">
      <x:c r="A14" s="38" t="n">
        <x:v>17</x:v>
      </x:c>
      <x:c r="B14" s="38" t="str">
        <x:v>3.4</x:v>
      </x:c>
      <x:c r="C14" s="38" t="n">
        <x:v>2</x:v>
      </x:c>
      <x:c r="D14" s="38" t="str">
        <x:v>Creación de tablas SQL</x:v>
      </x:c>
      <x:c r="E14" s="38" t="str">
        <x:v>Tarea</x:v>
      </x:c>
      <x:c r="F14" s="40" t="n">
        <x:v>46148</x:v>
      </x:c>
      <x:c r="G14" s="40" t="n">
        <x:v>46148</x:v>
      </x:c>
      <x:c r="H14" s="38" t="n">
        <x:v>1</x:v>
      </x:c>
      <x:c r="I14" s="38" t="str">
        <x:v>3.3</x:v>
      </x:c>
      <x:c r="J14" s="38" t="str">
        <x:v>Fran</x:v>
      </x:c>
      <x:c r="K14" s="38" t="n">
        <x:v>1</x:v>
      </x:c>
      <x:c r="L14" s="41" t="n">
        <x:v>20</x:v>
      </x:c>
      <x:c r="M14" s="41" t="n">
        <x:v>20</x:v>
      </x:c>
      <x:c r="N14" s="50" t="n">
        <x:v>0</x:v>
      </x:c>
      <x:c r="O14" s="41" t="n">
        <x:f>'Desviaciones final'!K17</x:f>
        <x:v>20</x:v>
      </x:c>
      <x:c r="P14" s="41" t="n">
        <x:f>O14-M14</x:f>
        <x:v>0</x:v>
      </x:c>
      <x:c r="Q14" s="38" t="str"/>
    </x:row>
    <x:row r="15" ht="15" hidden="0" customHeight="1">
      <x:c r="A15" s="38" t="n">
        <x:v>18</x:v>
      </x:c>
      <x:c r="B15" s="38" t="str">
        <x:v>3.5</x:v>
      </x:c>
      <x:c r="C15" s="38" t="n">
        <x:v>2</x:v>
      </x:c>
      <x:c r="D15" s="38" t="str">
        <x:v>Pruebas de la base de datos</x:v>
      </x:c>
      <x:c r="E15" s="38" t="str">
        <x:v>Tarea</x:v>
      </x:c>
      <x:c r="F15" s="40" t="n">
        <x:v>46149</x:v>
      </x:c>
      <x:c r="G15" s="40" t="n">
        <x:v>46149</x:v>
      </x:c>
      <x:c r="H15" s="38" t="n">
        <x:v>1</x:v>
      </x:c>
      <x:c r="I15" s="38" t="str">
        <x:v>3.4</x:v>
      </x:c>
      <x:c r="J15" s="38" t="str">
        <x:v>Fran</x:v>
      </x:c>
      <x:c r="K15" s="38" t="n">
        <x:v>1</x:v>
      </x:c>
      <x:c r="L15" s="41" t="n">
        <x:v>20</x:v>
      </x:c>
      <x:c r="M15" s="41" t="n">
        <x:v>20</x:v>
      </x:c>
      <x:c r="N15" s="50" t="n">
        <x:v>0</x:v>
      </x:c>
      <x:c r="O15" s="41" t="n">
        <x:f>'Desviaciones final'!K18</x:f>
        <x:v>20</x:v>
      </x:c>
      <x:c r="P15" s="41" t="n">
        <x:f>O15-M15</x:f>
        <x:v>0</x:v>
      </x:c>
      <x:c r="Q15" s="38" t="str"/>
    </x:row>
    <x:row r="16" ht="15" hidden="0" customHeight="1">
      <x:c r="A16" s="42" t="n">
        <x:v>3</x:v>
      </x:c>
      <x:c r="B16" s="42" t="str">
        <x:v>4</x:v>
      </x:c>
      <x:c r="C16" s="42" t="n">
        <x:v>1</x:v>
      </x:c>
      <x:c r="D16" s="42" t="str">
        <x:v>Frontend HTML/CSS/JS</x:v>
      </x:c>
      <x:c r="E16" s="42" t="str">
        <x:v>Resumen</x:v>
      </x:c>
      <x:c r="F16" s="48" t="n">
        <x:v>46146</x:v>
      </x:c>
      <x:c r="G16" s="48" t="n">
        <x:v>46155</x:v>
      </x:c>
      <x:c r="H16" s="42" t="n">
        <x:v>8</x:v>
      </x:c>
      <x:c r="I16" s="42" t="str"/>
      <x:c r="J16" s="42" t="str">
        <x:v>Resumen</x:v>
      </x:c>
      <x:c r="K16" s="42" t="str"/>
      <x:c r="L16" s="43" t="str"/>
      <x:c r="M16" s="43" t="n">
        <x:v>200</x:v>
      </x:c>
      <x:c r="N16" s="49" t="n">
        <x:v>0</x:v>
      </x:c>
      <x:c r="O16" s="43" t="n">
        <x:f>'Desviaciones final'!K19</x:f>
        <x:v>200</x:v>
      </x:c>
      <x:c r="P16" s="43" t="n">
        <x:f>O16-M16</x:f>
        <x:v>0</x:v>
      </x:c>
      <x:c r="Q16" s="42" t="str"/>
    </x:row>
    <x:row r="17" ht="15" hidden="0" customHeight="1">
      <x:c r="A17" s="38" t="n">
        <x:v>19</x:v>
      </x:c>
      <x:c r="B17" s="38" t="str">
        <x:v>4.1</x:v>
      </x:c>
      <x:c r="C17" s="38" t="n">
        <x:v>2</x:v>
      </x:c>
      <x:c r="D17" s="38" t="str">
        <x:v>Estructura inicial de carpetas</x:v>
      </x:c>
      <x:c r="E17" s="38" t="str">
        <x:v>Tarea</x:v>
      </x:c>
      <x:c r="F17" s="40" t="n">
        <x:v>46146</x:v>
      </x:c>
      <x:c r="G17" s="40" t="n">
        <x:v>46146</x:v>
      </x:c>
      <x:c r="H17" s="38" t="n">
        <x:v>1</x:v>
      </x:c>
      <x:c r="I17" s="38" t="str">
        <x:v>1.3</x:v>
      </x:c>
      <x:c r="J17" s="38" t="str">
        <x:v>Josan</x:v>
      </x:c>
      <x:c r="K17" s="38" t="n">
        <x:v>1</x:v>
      </x:c>
      <x:c r="L17" s="41" t="n">
        <x:v>20</x:v>
      </x:c>
      <x:c r="M17" s="41" t="n">
        <x:v>20</x:v>
      </x:c>
      <x:c r="N17" s="50" t="n">
        <x:v>0</x:v>
      </x:c>
      <x:c r="O17" s="41" t="n">
        <x:f>'Desviaciones final'!K20</x:f>
        <x:v>20</x:v>
      </x:c>
      <x:c r="P17" s="41" t="n">
        <x:f>O17-M17</x:f>
        <x:v>0</x:v>
      </x:c>
      <x:c r="Q17" s="38" t="str"/>
    </x:row>
    <x:row r="18" ht="15" hidden="0" customHeight="1">
      <x:c r="A18" s="38" t="n">
        <x:v>20</x:v>
      </x:c>
      <x:c r="B18" s="38" t="str">
        <x:v>4.2</x:v>
      </x:c>
      <x:c r="C18" s="38" t="n">
        <x:v>2</x:v>
      </x:c>
      <x:c r="D18" s="38" t="str">
        <x:v>Diseño de página Home</x:v>
      </x:c>
      <x:c r="E18" s="38" t="str">
        <x:v>Tarea</x:v>
      </x:c>
      <x:c r="F18" s="40" t="n">
        <x:v>46147</x:v>
      </x:c>
      <x:c r="G18" s="40" t="n">
        <x:v>46147</x:v>
      </x:c>
      <x:c r="H18" s="38" t="n">
        <x:v>1</x:v>
      </x:c>
      <x:c r="I18" s="38" t="str">
        <x:v>4.1</x:v>
      </x:c>
      <x:c r="J18" s="38" t="str">
        <x:v>Fran</x:v>
      </x:c>
      <x:c r="K18" s="38" t="n">
        <x:v>1</x:v>
      </x:c>
      <x:c r="L18" s="41" t="n">
        <x:v>20</x:v>
      </x:c>
      <x:c r="M18" s="41" t="n">
        <x:v>20</x:v>
      </x:c>
      <x:c r="N18" s="50" t="n">
        <x:v>0</x:v>
      </x:c>
      <x:c r="O18" s="41" t="n">
        <x:f>'Desviaciones final'!K21</x:f>
        <x:v>20</x:v>
      </x:c>
      <x:c r="P18" s="41" t="n">
        <x:f>O18-M18</x:f>
        <x:v>0</x:v>
      </x:c>
      <x:c r="Q18" s="38" t="str"/>
    </x:row>
    <x:row r="19" ht="15" hidden="0" customHeight="1">
      <x:c r="A19" s="38" t="n">
        <x:v>21</x:v>
      </x:c>
      <x:c r="B19" s="38" t="str">
        <x:v>4.3</x:v>
      </x:c>
      <x:c r="C19" s="38" t="n">
        <x:v>2</x:v>
      </x:c>
      <x:c r="D19" s="38" t="str">
        <x:v>Formulario de usuario y pasaporte</x:v>
      </x:c>
      <x:c r="E19" s="38" t="str">
        <x:v>Tarea</x:v>
      </x:c>
      <x:c r="F19" s="40" t="n">
        <x:v>46148</x:v>
      </x:c>
      <x:c r="G19" s="40" t="n">
        <x:v>46148</x:v>
      </x:c>
      <x:c r="H19" s="38" t="n">
        <x:v>1</x:v>
      </x:c>
      <x:c r="I19" s="38" t="str">
        <x:v>4.2</x:v>
      </x:c>
      <x:c r="J19" s="38" t="str">
        <x:v>Fran, Josan</x:v>
      </x:c>
      <x:c r="K19" s="38" t="n">
        <x:v>2</x:v>
      </x:c>
      <x:c r="L19" s="41" t="n">
        <x:v>20</x:v>
      </x:c>
      <x:c r="M19" s="41" t="n">
        <x:v>40</x:v>
      </x:c>
      <x:c r="N19" s="50" t="n">
        <x:v>0</x:v>
      </x:c>
      <x:c r="O19" s="41" t="n">
        <x:f>'Desviaciones final'!K22</x:f>
        <x:v>40</x:v>
      </x:c>
      <x:c r="P19" s="41" t="n">
        <x:f>O19-M19</x:f>
        <x:v>0</x:v>
      </x:c>
      <x:c r="Q19" s="38" t="str"/>
    </x:row>
    <x:row r="20" ht="15" hidden="0" customHeight="1">
      <x:c r="A20" s="38" t="n">
        <x:v>22</x:v>
      </x:c>
      <x:c r="B20" s="38" t="str">
        <x:v>4.4</x:v>
      </x:c>
      <x:c r="C20" s="38" t="n">
        <x:v>2</x:v>
      </x:c>
      <x:c r="D20" s="38" t="str">
        <x:v>Formulario de destino</x:v>
      </x:c>
      <x:c r="E20" s="38" t="str">
        <x:v>Tarea</x:v>
      </x:c>
      <x:c r="F20" s="40" t="n">
        <x:v>46149</x:v>
      </x:c>
      <x:c r="G20" s="40" t="n">
        <x:v>46149</x:v>
      </x:c>
      <x:c r="H20" s="38" t="n">
        <x:v>1</x:v>
      </x:c>
      <x:c r="I20" s="38" t="str">
        <x:v>4.3</x:v>
      </x:c>
      <x:c r="J20" s="38" t="str">
        <x:v>Fran</x:v>
      </x:c>
      <x:c r="K20" s="38" t="n">
        <x:v>1</x:v>
      </x:c>
      <x:c r="L20" s="41" t="n">
        <x:v>20</x:v>
      </x:c>
      <x:c r="M20" s="41" t="n">
        <x:v>20</x:v>
      </x:c>
      <x:c r="N20" s="50" t="n">
        <x:v>0</x:v>
      </x:c>
      <x:c r="O20" s="41" t="n">
        <x:f>'Desviaciones final'!K23</x:f>
        <x:v>20</x:v>
      </x:c>
      <x:c r="P20" s="41" t="n">
        <x:f>O20-M20</x:f>
        <x:v>0</x:v>
      </x:c>
      <x:c r="Q20" s="38" t="str"/>
    </x:row>
    <x:row r="21" ht="15" hidden="0" customHeight="1">
      <x:c r="A21" s="38" t="n">
        <x:v>23</x:v>
      </x:c>
      <x:c r="B21" s="38" t="str">
        <x:v>4.5</x:v>
      </x:c>
      <x:c r="C21" s="38" t="n">
        <x:v>2</x:v>
      </x:c>
      <x:c r="D21" s="38" t="str">
        <x:v>Formulario de guía</x:v>
      </x:c>
      <x:c r="E21" s="38" t="str">
        <x:v>Tarea</x:v>
      </x:c>
      <x:c r="F21" s="40" t="n">
        <x:v>46150</x:v>
      </x:c>
      <x:c r="G21" s="40" t="n">
        <x:v>46150</x:v>
      </x:c>
      <x:c r="H21" s="38" t="n">
        <x:v>1</x:v>
      </x:c>
      <x:c r="I21" s="38" t="str">
        <x:v>4.4</x:v>
      </x:c>
      <x:c r="J21" s="38" t="str">
        <x:v>Josan</x:v>
      </x:c>
      <x:c r="K21" s="38" t="n">
        <x:v>1</x:v>
      </x:c>
      <x:c r="L21" s="41" t="n">
        <x:v>20</x:v>
      </x:c>
      <x:c r="M21" s="41" t="n">
        <x:v>20</x:v>
      </x:c>
      <x:c r="N21" s="50" t="n">
        <x:v>0</x:v>
      </x:c>
      <x:c r="O21" s="41" t="n">
        <x:f>'Desviaciones final'!K24</x:f>
        <x:v>20</x:v>
      </x:c>
      <x:c r="P21" s="41" t="n">
        <x:f>O21-M21</x:f>
        <x:v>0</x:v>
      </x:c>
      <x:c r="Q21" s="38" t="str"/>
    </x:row>
    <x:row r="22" ht="15" hidden="0" customHeight="1">
      <x:c r="A22" s="38" t="n">
        <x:v>24</x:v>
      </x:c>
      <x:c r="B22" s="38" t="str">
        <x:v>4.6</x:v>
      </x:c>
      <x:c r="C22" s="38" t="n">
        <x:v>2</x:v>
      </x:c>
      <x:c r="D22" s="38" t="str">
        <x:v>Página de listado de destinos</x:v>
      </x:c>
      <x:c r="E22" s="38" t="str">
        <x:v>Tarea</x:v>
      </x:c>
      <x:c r="F22" s="40" t="n">
        <x:v>46153</x:v>
      </x:c>
      <x:c r="G22" s="40" t="n">
        <x:v>46153</x:v>
      </x:c>
      <x:c r="H22" s="38" t="n">
        <x:v>1</x:v>
      </x:c>
      <x:c r="I22" s="38" t="str">
        <x:v>4.5</x:v>
      </x:c>
      <x:c r="J22" s="38" t="str">
        <x:v>Fran</x:v>
      </x:c>
      <x:c r="K22" s="38" t="n">
        <x:v>1</x:v>
      </x:c>
      <x:c r="L22" s="41" t="n">
        <x:v>20</x:v>
      </x:c>
      <x:c r="M22" s="41" t="n">
        <x:v>20</x:v>
      </x:c>
      <x:c r="N22" s="50" t="n">
        <x:v>0</x:v>
      </x:c>
      <x:c r="O22" s="41" t="n">
        <x:f>'Desviaciones final'!K25</x:f>
        <x:v>20</x:v>
      </x:c>
      <x:c r="P22" s="41" t="n">
        <x:f>O22-M22</x:f>
        <x:v>0</x:v>
      </x:c>
      <x:c r="Q22" s="38" t="str"/>
    </x:row>
    <x:row r="23" ht="15" hidden="0" customHeight="1">
      <x:c r="A23" s="38" t="n">
        <x:v>25</x:v>
      </x:c>
      <x:c r="B23" s="38" t="str">
        <x:v>4.7</x:v>
      </x:c>
      <x:c r="C23" s="38" t="n">
        <x:v>2</x:v>
      </x:c>
      <x:c r="D23" s="38" t="str">
        <x:v>Página de listado de usuarios</x:v>
      </x:c>
      <x:c r="E23" s="38" t="str">
        <x:v>Tarea</x:v>
      </x:c>
      <x:c r="F23" s="40" t="n">
        <x:v>46154</x:v>
      </x:c>
      <x:c r="G23" s="40" t="n">
        <x:v>46154</x:v>
      </x:c>
      <x:c r="H23" s="38" t="n">
        <x:v>1</x:v>
      </x:c>
      <x:c r="I23" s="38" t="str">
        <x:v>4.6</x:v>
      </x:c>
      <x:c r="J23" s="38" t="str">
        <x:v>Josan</x:v>
      </x:c>
      <x:c r="K23" s="38" t="n">
        <x:v>1</x:v>
      </x:c>
      <x:c r="L23" s="41" t="n">
        <x:v>20</x:v>
      </x:c>
      <x:c r="M23" s="41" t="n">
        <x:v>20</x:v>
      </x:c>
      <x:c r="N23" s="50" t="n">
        <x:v>0</x:v>
      </x:c>
      <x:c r="O23" s="41" t="n">
        <x:f>'Desviaciones final'!K26</x:f>
        <x:v>20</x:v>
      </x:c>
      <x:c r="P23" s="41" t="n">
        <x:f>O23-M23</x:f>
        <x:v>0</x:v>
      </x:c>
      <x:c r="Q23" s="38" t="str"/>
    </x:row>
    <x:row r="24" ht="15" hidden="0" customHeight="1">
      <x:c r="A24" s="38" t="n">
        <x:v>26</x:v>
      </x:c>
      <x:c r="B24" s="38" t="str">
        <x:v>4.8</x:v>
      </x:c>
      <x:c r="C24" s="38" t="n">
        <x:v>2</x:v>
      </x:c>
      <x:c r="D24" s="38" t="str">
        <x:v>Validaciones JS y mensajes</x:v>
      </x:c>
      <x:c r="E24" s="38" t="str">
        <x:v>Tarea</x:v>
      </x:c>
      <x:c r="F24" s="40" t="n">
        <x:v>46155</x:v>
      </x:c>
      <x:c r="G24" s="40" t="n">
        <x:v>46155</x:v>
      </x:c>
      <x:c r="H24" s="38" t="n">
        <x:v>1</x:v>
      </x:c>
      <x:c r="I24" s="38" t="str">
        <x:v>4.7</x:v>
      </x:c>
      <x:c r="J24" s="38" t="str">
        <x:v>Fran, Josan</x:v>
      </x:c>
      <x:c r="K24" s="38" t="n">
        <x:v>2</x:v>
      </x:c>
      <x:c r="L24" s="41" t="n">
        <x:v>20</x:v>
      </x:c>
      <x:c r="M24" s="41" t="n">
        <x:v>40</x:v>
      </x:c>
      <x:c r="N24" s="50" t="n">
        <x:v>0</x:v>
      </x:c>
      <x:c r="O24" s="41" t="n">
        <x:f>'Desviaciones final'!K27</x:f>
        <x:v>40</x:v>
      </x:c>
      <x:c r="P24" s="41" t="n">
        <x:f>O24-M24</x:f>
        <x:v>0</x:v>
      </x:c>
      <x:c r="Q24" s="38" t="str"/>
    </x:row>
    <x:row r="25" ht="15" hidden="0" customHeight="1">
      <x:c r="A25" s="42" t="n">
        <x:v>4</x:v>
      </x:c>
      <x:c r="B25" s="42" t="str">
        <x:v>5</x:v>
      </x:c>
      <x:c r="C25" s="42" t="n">
        <x:v>1</x:v>
      </x:c>
      <x:c r="D25" s="42" t="str">
        <x:v>Backend Java</x:v>
      </x:c>
      <x:c r="E25" s="42" t="str">
        <x:v>Resumen</x:v>
      </x:c>
      <x:c r="F25" s="48" t="n">
        <x:v>46149</x:v>
      </x:c>
      <x:c r="G25" s="48" t="n">
        <x:v>46160</x:v>
      </x:c>
      <x:c r="H25" s="42" t="n">
        <x:v>8</x:v>
      </x:c>
      <x:c r="I25" s="42" t="str"/>
      <x:c r="J25" s="42" t="str">
        <x:v>Resumen</x:v>
      </x:c>
      <x:c r="K25" s="42" t="str"/>
      <x:c r="L25" s="43" t="str"/>
      <x:c r="M25" s="43" t="n">
        <x:v>200</x:v>
      </x:c>
      <x:c r="N25" s="49" t="n">
        <x:v>0</x:v>
      </x:c>
      <x:c r="O25" s="43" t="n">
        <x:f>'Desviaciones final'!K28</x:f>
        <x:v>200</x:v>
      </x:c>
      <x:c r="P25" s="43" t="n">
        <x:f>O25-M25</x:f>
        <x:v>0</x:v>
      </x:c>
      <x:c r="Q25" s="42" t="str"/>
    </x:row>
    <x:row r="26" ht="15" hidden="0" customHeight="1">
      <x:c r="A26" s="38" t="n">
        <x:v>27</x:v>
      </x:c>
      <x:c r="B26" s="38" t="str">
        <x:v>5.1</x:v>
      </x:c>
      <x:c r="C26" s="38" t="n">
        <x:v>2</x:v>
      </x:c>
      <x:c r="D26" s="38" t="str">
        <x:v>Revisión del backend proporcionado</x:v>
      </x:c>
      <x:c r="E26" s="38" t="str">
        <x:v>Tarea</x:v>
      </x:c>
      <x:c r="F26" s="40" t="n">
        <x:v>46149</x:v>
      </x:c>
      <x:c r="G26" s="40" t="n">
        <x:v>46149</x:v>
      </x:c>
      <x:c r="H26" s="38" t="n">
        <x:v>1</x:v>
      </x:c>
      <x:c r="I26" s="38" t="str">
        <x:v>3.4</x:v>
      </x:c>
      <x:c r="J26" s="38" t="str">
        <x:v>Fran, Josan</x:v>
      </x:c>
      <x:c r="K26" s="38" t="n">
        <x:v>2</x:v>
      </x:c>
      <x:c r="L26" s="41" t="n">
        <x:v>20</x:v>
      </x:c>
      <x:c r="M26" s="41" t="n">
        <x:v>40</x:v>
      </x:c>
      <x:c r="N26" s="50" t="n">
        <x:v>0</x:v>
      </x:c>
      <x:c r="O26" s="41" t="n">
        <x:f>'Desviaciones final'!K29</x:f>
        <x:v>40</x:v>
      </x:c>
      <x:c r="P26" s="41" t="n">
        <x:f>O26-M26</x:f>
        <x:v>0</x:v>
      </x:c>
      <x:c r="Q26" s="38" t="str"/>
    </x:row>
    <x:row r="27" ht="15" hidden="0" customHeight="1">
      <x:c r="A27" s="38" t="n">
        <x:v>28</x:v>
      </x:c>
      <x:c r="B27" s="38" t="str">
        <x:v>5.2</x:v>
      </x:c>
      <x:c r="C27" s="38" t="n">
        <x:v>2</x:v>
      </x:c>
      <x:c r="D27" s="38" t="str">
        <x:v>Entidad Usuario</x:v>
      </x:c>
      <x:c r="E27" s="38" t="str">
        <x:v>Tarea</x:v>
      </x:c>
      <x:c r="F27" s="40" t="n">
        <x:v>46150</x:v>
      </x:c>
      <x:c r="G27" s="40" t="n">
        <x:v>46150</x:v>
      </x:c>
      <x:c r="H27" s="38" t="n">
        <x:v>1</x:v>
      </x:c>
      <x:c r="I27" s="38" t="str">
        <x:v>5.1</x:v>
      </x:c>
      <x:c r="J27" s="38" t="str">
        <x:v>Fran</x:v>
      </x:c>
      <x:c r="K27" s="38" t="n">
        <x:v>1</x:v>
      </x:c>
      <x:c r="L27" s="41" t="n">
        <x:v>20</x:v>
      </x:c>
      <x:c r="M27" s="41" t="n">
        <x:v>20</x:v>
      </x:c>
      <x:c r="N27" s="50" t="n">
        <x:v>0</x:v>
      </x:c>
      <x:c r="O27" s="41" t="n">
        <x:f>'Desviaciones final'!K30</x:f>
        <x:v>20</x:v>
      </x:c>
      <x:c r="P27" s="41" t="n">
        <x:f>O27-M27</x:f>
        <x:v>0</x:v>
      </x:c>
      <x:c r="Q27" s="38" t="str"/>
    </x:row>
    <x:row r="28" ht="15" hidden="0" customHeight="1">
      <x:c r="A28" s="38" t="n">
        <x:v>29</x:v>
      </x:c>
      <x:c r="B28" s="38" t="str">
        <x:v>5.3</x:v>
      </x:c>
      <x:c r="C28" s="38" t="n">
        <x:v>2</x:v>
      </x:c>
      <x:c r="D28" s="38" t="str">
        <x:v>Entidad Destino</x:v>
      </x:c>
      <x:c r="E28" s="38" t="str">
        <x:v>Tarea</x:v>
      </x:c>
      <x:c r="F28" s="40" t="n">
        <x:v>46153</x:v>
      </x:c>
      <x:c r="G28" s="40" t="n">
        <x:v>46153</x:v>
      </x:c>
      <x:c r="H28" s="38" t="n">
        <x:v>1</x:v>
      </x:c>
      <x:c r="I28" s="38" t="str">
        <x:v>5.2</x:v>
      </x:c>
      <x:c r="J28" s="38" t="str">
        <x:v>Josan</x:v>
      </x:c>
      <x:c r="K28" s="38" t="n">
        <x:v>1</x:v>
      </x:c>
      <x:c r="L28" s="41" t="n">
        <x:v>20</x:v>
      </x:c>
      <x:c r="M28" s="41" t="n">
        <x:v>20</x:v>
      </x:c>
      <x:c r="N28" s="50" t="n">
        <x:v>0</x:v>
      </x:c>
      <x:c r="O28" s="41" t="n">
        <x:f>'Desviaciones final'!K31</x:f>
        <x:v>20</x:v>
      </x:c>
      <x:c r="P28" s="41" t="n">
        <x:f>O28-M28</x:f>
        <x:v>0</x:v>
      </x:c>
      <x:c r="Q28" s="38" t="str"/>
    </x:row>
    <x:row r="29" ht="15" hidden="0" customHeight="1">
      <x:c r="A29" s="38" t="n">
        <x:v>30</x:v>
      </x:c>
      <x:c r="B29" s="38" t="str">
        <x:v>5.4</x:v>
      </x:c>
      <x:c r="C29" s="38" t="n">
        <x:v>2</x:v>
      </x:c>
      <x:c r="D29" s="38" t="str">
        <x:v>Entidad Guía</x:v>
      </x:c>
      <x:c r="E29" s="38" t="str">
        <x:v>Tarea</x:v>
      </x:c>
      <x:c r="F29" s="40" t="n">
        <x:v>46154</x:v>
      </x:c>
      <x:c r="G29" s="40" t="n">
        <x:v>46154</x:v>
      </x:c>
      <x:c r="H29" s="38" t="n">
        <x:v>1</x:v>
      </x:c>
      <x:c r="I29" s="38" t="str">
        <x:v>5.3</x:v>
      </x:c>
      <x:c r="J29" s="38" t="str">
        <x:v>Fran</x:v>
      </x:c>
      <x:c r="K29" s="38" t="n">
        <x:v>1</x:v>
      </x:c>
      <x:c r="L29" s="41" t="n">
        <x:v>20</x:v>
      </x:c>
      <x:c r="M29" s="41" t="n">
        <x:v>20</x:v>
      </x:c>
      <x:c r="N29" s="50" t="n">
        <x:v>0</x:v>
      </x:c>
      <x:c r="O29" s="41" t="n">
        <x:f>'Desviaciones final'!K32</x:f>
        <x:v>20</x:v>
      </x:c>
      <x:c r="P29" s="41" t="n">
        <x:f>O29-M29</x:f>
        <x:v>0</x:v>
      </x:c>
      <x:c r="Q29" s="38" t="str"/>
    </x:row>
    <x:row r="30" ht="15" hidden="0" customHeight="1">
      <x:c r="A30" s="38" t="n">
        <x:v>31</x:v>
      </x:c>
      <x:c r="B30" s="38" t="str">
        <x:v>5.5</x:v>
      </x:c>
      <x:c r="C30" s="38" t="n">
        <x:v>2</x:v>
      </x:c>
      <x:c r="D30" s="38" t="str">
        <x:v>UsuarioController, Service y Repository</x:v>
      </x:c>
      <x:c r="E30" s="38" t="str">
        <x:v>Tarea</x:v>
      </x:c>
      <x:c r="F30" s="40" t="n">
        <x:v>46155</x:v>
      </x:c>
      <x:c r="G30" s="40" t="n">
        <x:v>46155</x:v>
      </x:c>
      <x:c r="H30" s="38" t="n">
        <x:v>1</x:v>
      </x:c>
      <x:c r="I30" s="38" t="str">
        <x:v>5.4</x:v>
      </x:c>
      <x:c r="J30" s="38" t="str">
        <x:v>Fran</x:v>
      </x:c>
      <x:c r="K30" s="38" t="n">
        <x:v>1</x:v>
      </x:c>
      <x:c r="L30" s="41" t="n">
        <x:v>20</x:v>
      </x:c>
      <x:c r="M30" s="41" t="n">
        <x:v>20</x:v>
      </x:c>
      <x:c r="N30" s="50" t="n">
        <x:v>0</x:v>
      </x:c>
      <x:c r="O30" s="41" t="n">
        <x:f>'Desviaciones final'!K33</x:f>
        <x:v>20</x:v>
      </x:c>
      <x:c r="P30" s="41" t="n">
        <x:f>O30-M30</x:f>
        <x:v>0</x:v>
      </x:c>
      <x:c r="Q30" s="38" t="str"/>
    </x:row>
    <x:row r="31" ht="15" hidden="0" customHeight="1">
      <x:c r="A31" s="38" t="n">
        <x:v>32</x:v>
      </x:c>
      <x:c r="B31" s="38" t="str">
        <x:v>5.6</x:v>
      </x:c>
      <x:c r="C31" s="38" t="n">
        <x:v>2</x:v>
      </x:c>
      <x:c r="D31" s="38" t="str">
        <x:v>DestinoController, Service y Repository</x:v>
      </x:c>
      <x:c r="E31" s="38" t="str">
        <x:v>Tarea</x:v>
      </x:c>
      <x:c r="F31" s="40" t="n">
        <x:v>46156</x:v>
      </x:c>
      <x:c r="G31" s="40" t="n">
        <x:v>46156</x:v>
      </x:c>
      <x:c r="H31" s="38" t="n">
        <x:v>1</x:v>
      </x:c>
      <x:c r="I31" s="38" t="str">
        <x:v>5.5</x:v>
      </x:c>
      <x:c r="J31" s="38" t="str">
        <x:v>Josan</x:v>
      </x:c>
      <x:c r="K31" s="38" t="n">
        <x:v>1</x:v>
      </x:c>
      <x:c r="L31" s="41" t="n">
        <x:v>20</x:v>
      </x:c>
      <x:c r="M31" s="41" t="n">
        <x:v>20</x:v>
      </x:c>
      <x:c r="N31" s="50" t="n">
        <x:v>0</x:v>
      </x:c>
      <x:c r="O31" s="41" t="n">
        <x:f>'Desviaciones final'!K34</x:f>
        <x:v>20</x:v>
      </x:c>
      <x:c r="P31" s="41" t="n">
        <x:f>O31-M31</x:f>
        <x:v>0</x:v>
      </x:c>
      <x:c r="Q31" s="38" t="str"/>
    </x:row>
    <x:row r="32" ht="15" hidden="0" customHeight="1">
      <x:c r="A32" s="38" t="n">
        <x:v>33</x:v>
      </x:c>
      <x:c r="B32" s="38" t="str">
        <x:v>5.7</x:v>
      </x:c>
      <x:c r="C32" s="38" t="n">
        <x:v>2</x:v>
      </x:c>
      <x:c r="D32" s="38" t="str">
        <x:v>GuiaController, Service y Repository</x:v>
      </x:c>
      <x:c r="E32" s="38" t="str">
        <x:v>Tarea</x:v>
      </x:c>
      <x:c r="F32" s="40" t="n">
        <x:v>46157</x:v>
      </x:c>
      <x:c r="G32" s="40" t="n">
        <x:v>46157</x:v>
      </x:c>
      <x:c r="H32" s="38" t="n">
        <x:v>1</x:v>
      </x:c>
      <x:c r="I32" s="38" t="str">
        <x:v>5.6</x:v>
      </x:c>
      <x:c r="J32" s="38" t="str">
        <x:v>Fran</x:v>
      </x:c>
      <x:c r="K32" s="38" t="n">
        <x:v>1</x:v>
      </x:c>
      <x:c r="L32" s="41" t="n">
        <x:v>20</x:v>
      </x:c>
      <x:c r="M32" s="41" t="n">
        <x:v>20</x:v>
      </x:c>
      <x:c r="N32" s="50" t="n">
        <x:v>0</x:v>
      </x:c>
      <x:c r="O32" s="41" t="n">
        <x:f>'Desviaciones final'!K35</x:f>
        <x:v>20</x:v>
      </x:c>
      <x:c r="P32" s="41" t="n">
        <x:f>O32-M32</x:f>
        <x:v>0</x:v>
      </x:c>
      <x:c r="Q32" s="38" t="str"/>
    </x:row>
    <x:row r="33" ht="15" hidden="0" customHeight="1">
      <x:c r="A33" s="38" t="n">
        <x:v>34</x:v>
      </x:c>
      <x:c r="B33" s="38" t="str">
        <x:v>5.8</x:v>
      </x:c>
      <x:c r="C33" s="38" t="n">
        <x:v>2</x:v>
      </x:c>
      <x:c r="D33" s="38" t="str">
        <x:v>Pruebas de endpoints REST</x:v>
      </x:c>
      <x:c r="E33" s="38" t="str">
        <x:v>Tarea</x:v>
      </x:c>
      <x:c r="F33" s="40" t="n">
        <x:v>46160</x:v>
      </x:c>
      <x:c r="G33" s="40" t="n">
        <x:v>46160</x:v>
      </x:c>
      <x:c r="H33" s="38" t="n">
        <x:v>1</x:v>
      </x:c>
      <x:c r="I33" s="38" t="str">
        <x:v>5.7</x:v>
      </x:c>
      <x:c r="J33" s="38" t="str">
        <x:v>Fran, Josan</x:v>
      </x:c>
      <x:c r="K33" s="38" t="n">
        <x:v>2</x:v>
      </x:c>
      <x:c r="L33" s="41" t="n">
        <x:v>20</x:v>
      </x:c>
      <x:c r="M33" s="41" t="n">
        <x:v>40</x:v>
      </x:c>
      <x:c r="N33" s="50" t="n">
        <x:v>0</x:v>
      </x:c>
      <x:c r="O33" s="41" t="n">
        <x:f>'Desviaciones final'!K36</x:f>
        <x:v>40</x:v>
      </x:c>
      <x:c r="P33" s="41" t="n">
        <x:f>O33-M33</x:f>
        <x:v>0</x:v>
      </x:c>
      <x:c r="Q33" s="38" t="str"/>
    </x:row>
    <x:row r="34" ht="15" hidden="0" customHeight="1">
      <x:c r="A34" s="42" t="n">
        <x:v>5</x:v>
      </x:c>
      <x:c r="B34" s="42" t="str">
        <x:v>6</x:v>
      </x:c>
      <x:c r="C34" s="42" t="n">
        <x:v>1</x:v>
      </x:c>
      <x:c r="D34" s="42" t="str">
        <x:v>Integración frontend-backend</x:v>
      </x:c>
      <x:c r="E34" s="42" t="str">
        <x:v>Resumen</x:v>
      </x:c>
      <x:c r="F34" s="48" t="n">
        <x:v>46161</x:v>
      </x:c>
      <x:c r="G34" s="48" t="n">
        <x:v>46164</x:v>
      </x:c>
      <x:c r="H34" s="42" t="n">
        <x:v>4</x:v>
      </x:c>
      <x:c r="I34" s="42" t="str"/>
      <x:c r="J34" s="42" t="str">
        <x:v>Resumen</x:v>
      </x:c>
      <x:c r="K34" s="42" t="str"/>
      <x:c r="L34" s="43" t="str"/>
      <x:c r="M34" s="43" t="n">
        <x:v>160</x:v>
      </x:c>
      <x:c r="N34" s="49" t="n">
        <x:v>0</x:v>
      </x:c>
      <x:c r="O34" s="43" t="n">
        <x:f>'Desviaciones final'!K37</x:f>
        <x:v>160</x:v>
      </x:c>
      <x:c r="P34" s="43" t="n">
        <x:f>O34-M34</x:f>
        <x:v>0</x:v>
      </x:c>
      <x:c r="Q34" s="42" t="str"/>
    </x:row>
    <x:row r="35" ht="15" hidden="0" customHeight="1">
      <x:c r="A35" s="38" t="n">
        <x:v>35</x:v>
      </x:c>
      <x:c r="B35" s="38" t="str">
        <x:v>6.1</x:v>
      </x:c>
      <x:c r="C35" s="38" t="n">
        <x:v>2</x:v>
      </x:c>
      <x:c r="D35" s="38" t="str">
        <x:v>Conexión formularios con backend</x:v>
      </x:c>
      <x:c r="E35" s="38" t="str">
        <x:v>Tarea</x:v>
      </x:c>
      <x:c r="F35" s="40" t="n">
        <x:v>46161</x:v>
      </x:c>
      <x:c r="G35" s="40" t="n">
        <x:v>46161</x:v>
      </x:c>
      <x:c r="H35" s="38" t="n">
        <x:v>1</x:v>
      </x:c>
      <x:c r="I35" s="38" t="str">
        <x:v>4.8, 5.8</x:v>
      </x:c>
      <x:c r="J35" s="38" t="str">
        <x:v>Fran, Josan</x:v>
      </x:c>
      <x:c r="K35" s="38" t="n">
        <x:v>2</x:v>
      </x:c>
      <x:c r="L35" s="41" t="n">
        <x:v>20</x:v>
      </x:c>
      <x:c r="M35" s="41" t="n">
        <x:v>40</x:v>
      </x:c>
      <x:c r="N35" s="50" t="n">
        <x:v>0</x:v>
      </x:c>
      <x:c r="O35" s="41" t="n">
        <x:f>'Desviaciones final'!K38</x:f>
        <x:v>40</x:v>
      </x:c>
      <x:c r="P35" s="41" t="n">
        <x:f>O35-M35</x:f>
        <x:v>0</x:v>
      </x:c>
      <x:c r="Q35" s="38" t="str"/>
    </x:row>
    <x:row r="36" ht="15" hidden="0" customHeight="1">
      <x:c r="A36" s="38" t="n">
        <x:v>36</x:v>
      </x:c>
      <x:c r="B36" s="38" t="str">
        <x:v>6.2</x:v>
      </x:c>
      <x:c r="C36" s="38" t="n">
        <x:v>2</x:v>
      </x:c>
      <x:c r="D36" s="38" t="str">
        <x:v>Conexión listados con backend</x:v>
      </x:c>
      <x:c r="E36" s="38" t="str">
        <x:v>Tarea</x:v>
      </x:c>
      <x:c r="F36" s="40" t="n">
        <x:v>46162</x:v>
      </x:c>
      <x:c r="G36" s="40" t="n">
        <x:v>46162</x:v>
      </x:c>
      <x:c r="H36" s="38" t="n">
        <x:v>1</x:v>
      </x:c>
      <x:c r="I36" s="38" t="str">
        <x:v>6.1</x:v>
      </x:c>
      <x:c r="J36" s="38" t="str">
        <x:v>Fran, Josan</x:v>
      </x:c>
      <x:c r="K36" s="38" t="n">
        <x:v>2</x:v>
      </x:c>
      <x:c r="L36" s="41" t="n">
        <x:v>20</x:v>
      </x:c>
      <x:c r="M36" s="41" t="n">
        <x:v>40</x:v>
      </x:c>
      <x:c r="N36" s="50" t="n">
        <x:v>0</x:v>
      </x:c>
      <x:c r="O36" s="41" t="n">
        <x:f>'Desviaciones final'!K39</x:f>
        <x:v>40</x:v>
      </x:c>
      <x:c r="P36" s="41" t="n">
        <x:f>O36-M36</x:f>
        <x:v>0</x:v>
      </x:c>
      <x:c r="Q36" s="38" t="str"/>
    </x:row>
    <x:row r="37" ht="15" hidden="0" customHeight="1">
      <x:c r="A37" s="38" t="n">
        <x:v>37</x:v>
      </x:c>
      <x:c r="B37" s="38" t="str">
        <x:v>6.3</x:v>
      </x:c>
      <x:c r="C37" s="38" t="n">
        <x:v>2</x:v>
      </x:c>
      <x:c r="D37" s="38" t="str">
        <x:v>Pruebas CRUD completas</x:v>
      </x:c>
      <x:c r="E37" s="38" t="str">
        <x:v>Tarea</x:v>
      </x:c>
      <x:c r="F37" s="40" t="n">
        <x:v>46163</x:v>
      </x:c>
      <x:c r="G37" s="40" t="n">
        <x:v>46163</x:v>
      </x:c>
      <x:c r="H37" s="38" t="n">
        <x:v>1</x:v>
      </x:c>
      <x:c r="I37" s="38" t="str">
        <x:v>6.2</x:v>
      </x:c>
      <x:c r="J37" s="38" t="str">
        <x:v>Fran, Josan</x:v>
      </x:c>
      <x:c r="K37" s="38" t="n">
        <x:v>2</x:v>
      </x:c>
      <x:c r="L37" s="41" t="n">
        <x:v>20</x:v>
      </x:c>
      <x:c r="M37" s="41" t="n">
        <x:v>40</x:v>
      </x:c>
      <x:c r="N37" s="50" t="n">
        <x:v>0</x:v>
      </x:c>
      <x:c r="O37" s="41" t="n">
        <x:f>'Desviaciones final'!K40</x:f>
        <x:v>40</x:v>
      </x:c>
      <x:c r="P37" s="41" t="n">
        <x:f>O37-M37</x:f>
        <x:v>0</x:v>
      </x:c>
      <x:c r="Q37" s="38" t="str"/>
    </x:row>
    <x:row r="38" ht="15" hidden="0" customHeight="1">
      <x:c r="A38" s="38" t="n">
        <x:v>38</x:v>
      </x:c>
      <x:c r="B38" s="38" t="str">
        <x:v>6.4</x:v>
      </x:c>
      <x:c r="C38" s="38" t="n">
        <x:v>2</x:v>
      </x:c>
      <x:c r="D38" s="38" t="str">
        <x:v>Corrección de errores de integración</x:v>
      </x:c>
      <x:c r="E38" s="38" t="str">
        <x:v>Tarea</x:v>
      </x:c>
      <x:c r="F38" s="40" t="n">
        <x:v>46164</x:v>
      </x:c>
      <x:c r="G38" s="40" t="n">
        <x:v>46164</x:v>
      </x:c>
      <x:c r="H38" s="38" t="n">
        <x:v>1</x:v>
      </x:c>
      <x:c r="I38" s="38" t="str">
        <x:v>6.3</x:v>
      </x:c>
      <x:c r="J38" s="38" t="str">
        <x:v>Fran, Josan</x:v>
      </x:c>
      <x:c r="K38" s="38" t="n">
        <x:v>2</x:v>
      </x:c>
      <x:c r="L38" s="41" t="n">
        <x:v>20</x:v>
      </x:c>
      <x:c r="M38" s="41" t="n">
        <x:v>40</x:v>
      </x:c>
      <x:c r="N38" s="50" t="n">
        <x:v>0</x:v>
      </x:c>
      <x:c r="O38" s="41" t="n">
        <x:f>'Desviaciones final'!K41</x:f>
        <x:v>40</x:v>
      </x:c>
      <x:c r="P38" s="41" t="n">
        <x:f>O38-M38</x:f>
        <x:v>0</x:v>
      </x:c>
      <x:c r="Q38" s="38" t="str"/>
    </x:row>
    <x:row r="39" ht="15" hidden="0" customHeight="1">
      <x:c r="A39" s="42" t="n">
        <x:v>6</x:v>
      </x:c>
      <x:c r="B39" s="42" t="str">
        <x:v>7</x:v>
      </x:c>
      <x:c r="C39" s="42" t="n">
        <x:v>1</x:v>
      </x:c>
      <x:c r="D39" s="42" t="str">
        <x:v>Documentación</x:v>
      </x:c>
      <x:c r="E39" s="42" t="str">
        <x:v>Resumen</x:v>
      </x:c>
      <x:c r="F39" s="48" t="n">
        <x:v>46147</x:v>
      </x:c>
      <x:c r="G39" s="48" t="n">
        <x:v>46167</x:v>
      </x:c>
      <x:c r="H39" s="42" t="n">
        <x:v>15</x:v>
      </x:c>
      <x:c r="I39" s="42" t="str"/>
      <x:c r="J39" s="42" t="str">
        <x:v>Resumen</x:v>
      </x:c>
      <x:c r="K39" s="42" t="str"/>
      <x:c r="L39" s="43" t="str"/>
      <x:c r="M39" s="43" t="n">
        <x:v>120</x:v>
      </x:c>
      <x:c r="N39" s="49" t="n">
        <x:v>0</x:v>
      </x:c>
      <x:c r="O39" s="43" t="n">
        <x:f>'Desviaciones final'!K42</x:f>
        <x:v>120</x:v>
      </x:c>
      <x:c r="P39" s="43" t="n">
        <x:f>O39-M39</x:f>
        <x:v>0</x:v>
      </x:c>
      <x:c r="Q39" s="42" t="str"/>
    </x:row>
    <x:row r="40" ht="15" hidden="0" customHeight="1">
      <x:c r="A40" s="38" t="n">
        <x:v>39</x:v>
      </x:c>
      <x:c r="B40" s="38" t="str">
        <x:v>7.1</x:v>
      </x:c>
      <x:c r="C40" s="38" t="n">
        <x:v>2</x:v>
      </x:c>
      <x:c r="D40" s="38" t="str">
        <x:v>Documentación de base de datos</x:v>
      </x:c>
      <x:c r="E40" s="38" t="str">
        <x:v>Tarea</x:v>
      </x:c>
      <x:c r="F40" s="40" t="n">
        <x:v>46150</x:v>
      </x:c>
      <x:c r="G40" s="40" t="n">
        <x:v>46150</x:v>
      </x:c>
      <x:c r="H40" s="38" t="n">
        <x:v>1</x:v>
      </x:c>
      <x:c r="I40" s="38" t="str">
        <x:v>3.5</x:v>
      </x:c>
      <x:c r="J40" s="38" t="str">
        <x:v>Fran</x:v>
      </x:c>
      <x:c r="K40" s="38" t="n">
        <x:v>1</x:v>
      </x:c>
      <x:c r="L40" s="41" t="n">
        <x:v>20</x:v>
      </x:c>
      <x:c r="M40" s="41" t="n">
        <x:v>20</x:v>
      </x:c>
      <x:c r="N40" s="50" t="n">
        <x:v>0</x:v>
      </x:c>
      <x:c r="O40" s="41" t="n">
        <x:f>'Desviaciones final'!K43</x:f>
        <x:v>20</x:v>
      </x:c>
      <x:c r="P40" s="41" t="n">
        <x:f>O40-M40</x:f>
        <x:v>0</x:v>
      </x:c>
      <x:c r="Q40" s="38" t="str"/>
    </x:row>
    <x:row r="41" ht="15" hidden="0" customHeight="1">
      <x:c r="A41" s="38" t="n">
        <x:v>40</x:v>
      </x:c>
      <x:c r="B41" s="38" t="str">
        <x:v>7.2</x:v>
      </x:c>
      <x:c r="C41" s="38" t="n">
        <x:v>2</x:v>
      </x:c>
      <x:c r="D41" s="38" t="str">
        <x:v>Capturas del Gantt inicial</x:v>
      </x:c>
      <x:c r="E41" s="38" t="str">
        <x:v>Tarea</x:v>
      </x:c>
      <x:c r="F41" s="40" t="n">
        <x:v>46153</x:v>
      </x:c>
      <x:c r="G41" s="40" t="n">
        <x:v>46153</x:v>
      </x:c>
      <x:c r="H41" s="38" t="n">
        <x:v>1</x:v>
      </x:c>
      <x:c r="I41" s="38" t="str">
        <x:v>7.1</x:v>
      </x:c>
      <x:c r="J41" s="38" t="str">
        <x:v>Josan</x:v>
      </x:c>
      <x:c r="K41" s="38" t="n">
        <x:v>1</x:v>
      </x:c>
      <x:c r="L41" s="41" t="n">
        <x:v>20</x:v>
      </x:c>
      <x:c r="M41" s="41" t="n">
        <x:v>20</x:v>
      </x:c>
      <x:c r="N41" s="50" t="n">
        <x:v>0</x:v>
      </x:c>
      <x:c r="O41" s="41" t="n">
        <x:f>'Desviaciones final'!K44</x:f>
        <x:v>20</x:v>
      </x:c>
      <x:c r="P41" s="41" t="n">
        <x:f>O41-M41</x:f>
        <x:v>0</x:v>
      </x:c>
      <x:c r="Q41" s="38" t="str"/>
    </x:row>
    <x:row r="42" ht="15" hidden="0" customHeight="1">
      <x:c r="A42" s="38" t="n">
        <x:v>41</x:v>
      </x:c>
      <x:c r="B42" s="38" t="str">
        <x:v>7.3</x:v>
      </x:c>
      <x:c r="C42" s="38" t="n">
        <x:v>2</x:v>
      </x:c>
      <x:c r="D42" s="38" t="str">
        <x:v>Documentación del desarrollo</x:v>
      </x:c>
      <x:c r="E42" s="38" t="str">
        <x:v>Tarea</x:v>
      </x:c>
      <x:c r="F42" s="40" t="n">
        <x:v>46164</x:v>
      </x:c>
      <x:c r="G42" s="40" t="n">
        <x:v>46164</x:v>
      </x:c>
      <x:c r="H42" s="38" t="n">
        <x:v>1</x:v>
      </x:c>
      <x:c r="I42" s="38" t="str">
        <x:v>6.3</x:v>
      </x:c>
      <x:c r="J42" s="38" t="str">
        <x:v>Fran, Josan</x:v>
      </x:c>
      <x:c r="K42" s="38" t="n">
        <x:v>2</x:v>
      </x:c>
      <x:c r="L42" s="41" t="n">
        <x:v>20</x:v>
      </x:c>
      <x:c r="M42" s="41" t="n">
        <x:v>40</x:v>
      </x:c>
      <x:c r="N42" s="50" t="n">
        <x:v>0</x:v>
      </x:c>
      <x:c r="O42" s="41" t="n">
        <x:f>'Desviaciones final'!K45</x:f>
        <x:v>40</x:v>
      </x:c>
      <x:c r="P42" s="41" t="n">
        <x:f>O42-M42</x:f>
        <x:v>0</x:v>
      </x:c>
      <x:c r="Q42" s="38" t="str"/>
    </x:row>
    <x:row r="43" ht="15" hidden="0" customHeight="1">
      <x:c r="A43" s="38" t="n">
        <x:v>42</x:v>
      </x:c>
      <x:c r="B43" s="38" t="str">
        <x:v>7.4</x:v>
      </x:c>
      <x:c r="C43" s="38" t="n">
        <x:v>2</x:v>
      </x:c>
      <x:c r="D43" s="38" t="str">
        <x:v>WBS con costes presupuestados</x:v>
      </x:c>
      <x:c r="E43" s="38" t="str">
        <x:v>Tarea</x:v>
      </x:c>
      <x:c r="F43" s="40" t="n">
        <x:v>46147</x:v>
      </x:c>
      <x:c r="G43" s="40" t="n">
        <x:v>46147</x:v>
      </x:c>
      <x:c r="H43" s="38" t="n">
        <x:v>1</x:v>
      </x:c>
      <x:c r="I43" s="38" t="str">
        <x:v>2.3</x:v>
      </x:c>
      <x:c r="J43" s="38" t="str">
        <x:v>Fran</x:v>
      </x:c>
      <x:c r="K43" s="38" t="n">
        <x:v>1</x:v>
      </x:c>
      <x:c r="L43" s="41" t="n">
        <x:v>20</x:v>
      </x:c>
      <x:c r="M43" s="41" t="n">
        <x:v>20</x:v>
      </x:c>
      <x:c r="N43" s="50" t="n">
        <x:v>0</x:v>
      </x:c>
      <x:c r="O43" s="41" t="n">
        <x:f>'Desviaciones final'!K46</x:f>
        <x:v>20</x:v>
      </x:c>
      <x:c r="P43" s="41" t="n">
        <x:f>O43-M43</x:f>
        <x:v>0</x:v>
      </x:c>
      <x:c r="Q43" s="38" t="str"/>
    </x:row>
    <x:row r="44" ht="15" hidden="0" customHeight="1">
      <x:c r="A44" s="38" t="n">
        <x:v>43</x:v>
      </x:c>
      <x:c r="B44" s="38" t="str">
        <x:v>7.5</x:v>
      </x:c>
      <x:c r="C44" s="38" t="n">
        <x:v>2</x:v>
      </x:c>
      <x:c r="D44" s="38" t="str">
        <x:v>Maquetación final de la memoria</x:v>
      </x:c>
      <x:c r="E44" s="38" t="str">
        <x:v>Tarea</x:v>
      </x:c>
      <x:c r="F44" s="40" t="n">
        <x:v>46167</x:v>
      </x:c>
      <x:c r="G44" s="40" t="n">
        <x:v>46167</x:v>
      </x:c>
      <x:c r="H44" s="38" t="n">
        <x:v>1</x:v>
      </x:c>
      <x:c r="I44" s="38" t="str">
        <x:v>7.1, 7.2, 7.3, 7.4</x:v>
      </x:c>
      <x:c r="J44" s="38" t="str">
        <x:v>Fran</x:v>
      </x:c>
      <x:c r="K44" s="38" t="n">
        <x:v>1</x:v>
      </x:c>
      <x:c r="L44" s="41" t="n">
        <x:v>20</x:v>
      </x:c>
      <x:c r="M44" s="41" t="n">
        <x:v>20</x:v>
      </x:c>
      <x:c r="N44" s="50" t="n">
        <x:v>0</x:v>
      </x:c>
      <x:c r="O44" s="41" t="n">
        <x:f>'Desviaciones final'!K47</x:f>
        <x:v>20</x:v>
      </x:c>
      <x:c r="P44" s="41" t="n">
        <x:f>O44-M44</x:f>
        <x:v>0</x:v>
      </x:c>
      <x:c r="Q44" s="38" t="str"/>
    </x:row>
    <x:row r="45" ht="15" hidden="0" customHeight="1">
      <x:c r="A45" s="42" t="n">
        <x:v>7</x:v>
      </x:c>
      <x:c r="B45" s="42" t="str">
        <x:v>8</x:v>
      </x:c>
      <x:c r="C45" s="42" t="n">
        <x:v>1</x:v>
      </x:c>
      <x:c r="D45" s="42" t="str">
        <x:v>Revisión y entrega</x:v>
      </x:c>
      <x:c r="E45" s="42" t="str">
        <x:v>Resumen</x:v>
      </x:c>
      <x:c r="F45" s="48" t="n">
        <x:v>46168</x:v>
      </x:c>
      <x:c r="G45" s="48" t="n">
        <x:v>46170</x:v>
      </x:c>
      <x:c r="H45" s="42" t="n">
        <x:v>3</x:v>
      </x:c>
      <x:c r="I45" s="42" t="str"/>
      <x:c r="J45" s="42" t="str">
        <x:v>Resumen</x:v>
      </x:c>
      <x:c r="K45" s="42" t="str"/>
      <x:c r="L45" s="43" t="str"/>
      <x:c r="M45" s="43" t="n">
        <x:v>120</x:v>
      </x:c>
      <x:c r="N45" s="49" t="n">
        <x:v>0</x:v>
      </x:c>
      <x:c r="O45" s="43" t="n">
        <x:f>'Desviaciones final'!K48</x:f>
        <x:v>120</x:v>
      </x:c>
      <x:c r="P45" s="43" t="n">
        <x:f>O45-M45</x:f>
        <x:v>0</x:v>
      </x:c>
      <x:c r="Q45" s="42" t="str"/>
    </x:row>
    <x:row r="46" ht="15" hidden="0" customHeight="1">
      <x:c r="A46" s="38" t="n">
        <x:v>44</x:v>
      </x:c>
      <x:c r="B46" s="38" t="str">
        <x:v>8.1</x:v>
      </x:c>
      <x:c r="C46" s="38" t="n">
        <x:v>2</x:v>
      </x:c>
      <x:c r="D46" s="38" t="str">
        <x:v>Revisión general del proyecto</x:v>
      </x:c>
      <x:c r="E46" s="38" t="str">
        <x:v>Tarea</x:v>
      </x:c>
      <x:c r="F46" s="40" t="n">
        <x:v>46168</x:v>
      </x:c>
      <x:c r="G46" s="40" t="n">
        <x:v>46168</x:v>
      </x:c>
      <x:c r="H46" s="38" t="n">
        <x:v>1</x:v>
      </x:c>
      <x:c r="I46" s="38" t="str">
        <x:v>6.4, 7.5</x:v>
      </x:c>
      <x:c r="J46" s="38" t="str">
        <x:v>Fran, Josan</x:v>
      </x:c>
      <x:c r="K46" s="38" t="n">
        <x:v>2</x:v>
      </x:c>
      <x:c r="L46" s="41" t="n">
        <x:v>20</x:v>
      </x:c>
      <x:c r="M46" s="41" t="n">
        <x:v>40</x:v>
      </x:c>
      <x:c r="N46" s="50" t="n">
        <x:v>0</x:v>
      </x:c>
      <x:c r="O46" s="41" t="n">
        <x:f>'Desviaciones final'!K49</x:f>
        <x:v>40</x:v>
      </x:c>
      <x:c r="P46" s="41" t="n">
        <x:f>O46-M46</x:f>
        <x:v>0</x:v>
      </x:c>
      <x:c r="Q46" s="38" t="str"/>
    </x:row>
    <x:row r="47" ht="15" hidden="0" customHeight="1">
      <x:c r="A47" s="38" t="n">
        <x:v>45</x:v>
      </x:c>
      <x:c r="B47" s="38" t="str">
        <x:v>8.2</x:v>
      </x:c>
      <x:c r="C47" s="38" t="n">
        <x:v>2</x:v>
      </x:c>
      <x:c r="D47" s="38" t="str">
        <x:v>Ajustes finales</x:v>
      </x:c>
      <x:c r="E47" s="38" t="str">
        <x:v>Tarea</x:v>
      </x:c>
      <x:c r="F47" s="40" t="n">
        <x:v>46169</x:v>
      </x:c>
      <x:c r="G47" s="40" t="n">
        <x:v>46169</x:v>
      </x:c>
      <x:c r="H47" s="38" t="n">
        <x:v>1</x:v>
      </x:c>
      <x:c r="I47" s="38" t="str">
        <x:v>8.1</x:v>
      </x:c>
      <x:c r="J47" s="38" t="str">
        <x:v>Fran, Josan</x:v>
      </x:c>
      <x:c r="K47" s="38" t="n">
        <x:v>2</x:v>
      </x:c>
      <x:c r="L47" s="41" t="n">
        <x:v>20</x:v>
      </x:c>
      <x:c r="M47" s="41" t="n">
        <x:v>40</x:v>
      </x:c>
      <x:c r="N47" s="50" t="n">
        <x:v>0</x:v>
      </x:c>
      <x:c r="O47" s="41" t="n">
        <x:f>'Desviaciones final'!K50</x:f>
        <x:v>40</x:v>
      </x:c>
      <x:c r="P47" s="41" t="n">
        <x:f>O47-M47</x:f>
        <x:v>0</x:v>
      </x:c>
      <x:c r="Q47" s="38" t="str"/>
    </x:row>
    <x:row r="48" ht="15" hidden="0" customHeight="1">
      <x:c r="A48" s="38" t="n">
        <x:v>46</x:v>
      </x:c>
      <x:c r="B48" s="38" t="str">
        <x:v>8.3</x:v>
      </x:c>
      <x:c r="C48" s="38" t="n">
        <x:v>2</x:v>
      </x:c>
      <x:c r="D48" s="38" t="str">
        <x:v>Entrega y preparación de exposición</x:v>
      </x:c>
      <x:c r="E48" s="38" t="str">
        <x:v>Tarea</x:v>
      </x:c>
      <x:c r="F48" s="40" t="n">
        <x:v>46170</x:v>
      </x:c>
      <x:c r="G48" s="40" t="n">
        <x:v>46170</x:v>
      </x:c>
      <x:c r="H48" s="38" t="n">
        <x:v>1</x:v>
      </x:c>
      <x:c r="I48" s="38" t="str">
        <x:v>8.2</x:v>
      </x:c>
      <x:c r="J48" s="38" t="str">
        <x:v>Fran, Josan</x:v>
      </x:c>
      <x:c r="K48" s="38" t="n">
        <x:v>2</x:v>
      </x:c>
      <x:c r="L48" s="41" t="n">
        <x:v>20</x:v>
      </x:c>
      <x:c r="M48" s="41" t="n">
        <x:v>40</x:v>
      </x:c>
      <x:c r="N48" s="50" t="n">
        <x:v>0</x:v>
      </x:c>
      <x:c r="O48" s="41" t="n">
        <x:f>'Desviaciones final'!K51</x:f>
        <x:v>40</x:v>
      </x:c>
      <x:c r="P48" s="41" t="n">
        <x:f>O48-M48</x:f>
        <x:v>0</x:v>
      </x:c>
      <x:c r="Q48" s="38" t="str"/>
    </x:row>
  </x:sheetData>
  <x:pageMargins left="0.7" right="0.7" top="0.75" bottom="0.75" header="0.3" footer="0.3"/>
  <x:tableParts count="1">
    <x:tablePart xmlns:r="http://schemas.openxmlformats.org/officeDocument/2006/relationships" r:id="R15ddd306c5724d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2" hidden="0" customWidth="1"/>
  </x:cols>
  <x:sheetData>
    <x:row r="1" ht="15" hidden="0" customHeight="1">
      <x:c r="A1" s="12" t="str">
        <x:v>Recurso</x:v>
      </x:c>
      <x:c r="B1" s="12" t="str">
        <x:v>Rol previsto</x:v>
      </x:c>
      <x:c r="C1" s="12" t="str">
        <x:v>Tarifa estándar</x:v>
      </x:c>
      <x:c r="D1" s="12" t="str">
        <x:v>Tareas asignadas</x:v>
      </x:c>
      <x:c r="E1" s="12" t="str">
        <x:v>Coste presupuestado</x:v>
      </x:c>
      <x:c r="F1" s="12" t="str">
        <x:v>Carga inicial (días-tarea)</x:v>
      </x:c>
      <x:c r="G1" s="12" t="str">
        <x:v>Observaciones</x:v>
      </x:c>
    </x:row>
    <x:row r="2" ht="15" hidden="0" customHeight="1">
      <x:c r="A2" s="38" t="str">
        <x:v>Fran</x:v>
      </x:c>
      <x:c r="B2" s="38" t="str">
        <x:v>ProjectManager / Desarrollador / Maquetación</x:v>
      </x:c>
      <x:c r="C2" s="41" t="n">
        <x:v>20</x:v>
      </x:c>
      <x:c r="D2" s="41" t="n">
        <x:f>COUNTIF(Asignaciones!D:D,A2)</x:f>
        <x:v>30</x:v>
      </x:c>
      <x:c r="E2" s="41" t="n">
        <x:f>SUMIF(Asignaciones!D:D,A2,Asignaciones!G:G)</x:f>
        <x:v>600</x:v>
      </x:c>
      <x:c r="F2" s="38" t="n">
        <x:f>SUMIF(Asignaciones!D:D,A2,Asignaciones!E:E)</x:f>
        <x:v>30</x:v>
      </x:c>
      <x:c r="G2" s="38" t="str">
        <x:v>Control de GanttProject, WBS, costes y parte de desarrollo.</x:v>
      </x:c>
    </x:row>
    <x:row r="3" ht="15" hidden="0" customHeight="1">
      <x:c r="A3" s="38" t="str">
        <x:v>Josan</x:v>
      </x:c>
      <x:c r="B3" s="38" t="str">
        <x:v>GitMaster / Desarrollador / Apoyo documentación</x:v>
      </x:c>
      <x:c r="C3" s="41" t="n">
        <x:v>20</x:v>
      </x:c>
      <x:c r="D3" s="41" t="n">
        <x:f>COUNTIF(Asignaciones!D:D,A3)</x:f>
        <x:v>24</x:v>
      </x:c>
      <x:c r="E3" s="41" t="n">
        <x:f>SUMIF(Asignaciones!D:D,A3,Asignaciones!G:G)</x:f>
        <x:v>480</x:v>
      </x:c>
      <x:c r="F3" s="38" t="n">
        <x:f>SUMIF(Asignaciones!D:D,A3,Asignaciones!E:E)</x:f>
        <x:v>24</x:v>
      </x:c>
      <x:c r="G3" s="38" t="str">
        <x:v>Repositorio GitHub, GitFlow, capturas del Gantt inicial y desarrollo.</x:v>
      </x:c>
    </x:row>
    <x:row r="4">
      <x:c r="A4" s="38"/>
      <x:c r="B4" s="38"/>
      <x:c r="C4" s="38"/>
      <x:c r="D4" s="38"/>
      <x:c r="E4" s="38"/>
      <x:c r="F4" s="38"/>
      <x:c r="G4" s="38"/>
    </x:row>
    <x:row r="5" ht="15" hidden="0" customHeight="1">
      <x:c r="A5" s="42" t="str">
        <x:v>Total recursos</x:v>
      </x:c>
      <x:c r="B5" s="42" t="str"/>
      <x:c r="C5" s="42" t="str"/>
      <x:c r="D5" s="42" t="n">
        <x:f>SUM(D2:D3)</x:f>
        <x:v>54</x:v>
      </x:c>
      <x:c r="E5" s="43" t="n">
        <x:f>SUM(E2:E3)</x:f>
        <x:v>1080</x:v>
      </x:c>
      <x:c r="F5" s="42" t="n">
        <x:f>SUM(F2:F3)</x:f>
        <x:v>54</x:v>
      </x:c>
      <x:c r="G5" s="38"/>
    </x:row>
  </x:sheetData>
  <x:pageMargins left="0.7" right="0.7" top="0.75" bottom="0.75" header="0.3" footer="0.3"/>
  <x:tableParts count="1">
    <x:tablePart xmlns:r="http://schemas.openxmlformats.org/officeDocument/2006/relationships" r:id="Rbb45986321ef42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4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5" hidden="0" customHeight="1">
      <x:c r="A1" s="12" t="str">
        <x:v>ID tarea</x:v>
      </x:c>
      <x:c r="B1" s="12" t="str">
        <x:v>WBS</x:v>
      </x:c>
      <x:c r="C1" s="12" t="str">
        <x:v>Tarea</x:v>
      </x:c>
      <x:c r="D1" s="12" t="str">
        <x:v>Recurso</x:v>
      </x:c>
      <x:c r="E1" s="12" t="str">
        <x:v>Duración asignada</x:v>
      </x:c>
      <x:c r="F1" s="12" t="str">
        <x:v>Carga</x:v>
      </x:c>
      <x:c r="G1" s="12" t="str">
        <x:v>Coste por recurso</x:v>
      </x:c>
    </x:row>
    <x:row r="2" ht="15" hidden="0" customHeight="1">
      <x:c r="A2" t="n">
        <x:v>8</x:v>
      </x:c>
      <x:c r="B2" t="str">
        <x:v>1.1</x:v>
      </x:c>
      <x:c r="C2" t="str">
        <x:v>Lectura del enunciado y reparto de roles</x:v>
      </x:c>
      <x:c r="D2" t="str">
        <x:v>Fran</x:v>
      </x:c>
      <x:c r="E2" t="n">
        <x:v>1</x:v>
      </x:c>
      <x:c r="F2" s="22" t="n">
        <x:v>1</x:v>
      </x:c>
      <x:c r="G2" s="16" t="n">
        <x:v>20</x:v>
      </x:c>
    </x:row>
    <x:row r="3" ht="15" hidden="0" customHeight="1">
      <x:c r="A3" t="n">
        <x:v>8</x:v>
      </x:c>
      <x:c r="B3" t="str">
        <x:v>1.1</x:v>
      </x:c>
      <x:c r="C3" t="str">
        <x:v>Lectura del enunciado y reparto de roles</x:v>
      </x:c>
      <x:c r="D3" t="str">
        <x:v>Josan</x:v>
      </x:c>
      <x:c r="E3" t="n">
        <x:v>1</x:v>
      </x:c>
      <x:c r="F3" s="22" t="n">
        <x:v>1</x:v>
      </x:c>
      <x:c r="G3" s="16" t="n">
        <x:v>20</x:v>
      </x:c>
    </x:row>
    <x:row r="4" ht="15" hidden="0" customHeight="1">
      <x:c r="A4" t="n">
        <x:v>10</x:v>
      </x:c>
      <x:c r="B4" t="str">
        <x:v>1.2</x:v>
      </x:c>
      <x:c r="C4" t="str">
        <x:v>Creación del repositorio GitHub</x:v>
      </x:c>
      <x:c r="D4" t="str">
        <x:v>Josan</x:v>
      </x:c>
      <x:c r="E4" t="n">
        <x:v>1</x:v>
      </x:c>
      <x:c r="F4" s="22" t="n">
        <x:v>1</x:v>
      </x:c>
      <x:c r="G4" s="16" t="n">
        <x:v>20</x:v>
      </x:c>
    </x:row>
    <x:row r="5" ht="15" hidden="0" customHeight="1">
      <x:c r="A5" t="n">
        <x:v>11</x:v>
      </x:c>
      <x:c r="B5" t="str">
        <x:v>1.3</x:v>
      </x:c>
      <x:c r="C5" t="str">
        <x:v>Configuración inicial GitFlow</x:v>
      </x:c>
      <x:c r="D5" t="str">
        <x:v>Josan</x:v>
      </x:c>
      <x:c r="E5" t="n">
        <x:v>1</x:v>
      </x:c>
      <x:c r="F5" s="22" t="n">
        <x:v>1</x:v>
      </x:c>
      <x:c r="G5" s="16" t="n">
        <x:v>20</x:v>
      </x:c>
    </x:row>
    <x:row r="6" ht="15" hidden="0" customHeight="1">
      <x:c r="A6" t="n">
        <x:v>12</x:v>
      </x:c>
      <x:c r="B6" t="str">
        <x:v>2.1</x:v>
      </x:c>
      <x:c r="C6" t="str">
        <x:v>Análisis de requisitos</x:v>
      </x:c>
      <x:c r="D6" t="str">
        <x:v>Fran</x:v>
      </x:c>
      <x:c r="E6" t="n">
        <x:v>1</x:v>
      </x:c>
      <x:c r="F6" s="22" t="n">
        <x:v>1</x:v>
      </x:c>
      <x:c r="G6" s="16" t="n">
        <x:v>20</x:v>
      </x:c>
    </x:row>
    <x:row r="7" ht="15" hidden="0" customHeight="1">
      <x:c r="A7" t="n">
        <x:v>12</x:v>
      </x:c>
      <x:c r="B7" t="str">
        <x:v>2.1</x:v>
      </x:c>
      <x:c r="C7" t="str">
        <x:v>Análisis de requisitos</x:v>
      </x:c>
      <x:c r="D7" t="str">
        <x:v>Josan</x:v>
      </x:c>
      <x:c r="E7" t="n">
        <x:v>1</x:v>
      </x:c>
      <x:c r="F7" s="22" t="n">
        <x:v>1</x:v>
      </x:c>
      <x:c r="G7" s="16" t="n">
        <x:v>20</x:v>
      </x:c>
    </x:row>
    <x:row r="8" ht="15" hidden="0" customHeight="1">
      <x:c r="A8" t="n">
        <x:v>9</x:v>
      </x:c>
      <x:c r="B8" t="str">
        <x:v>2.2</x:v>
      </x:c>
      <x:c r="C8" t="str">
        <x:v>Definición de tareas del proyecto</x:v>
      </x:c>
      <x:c r="D8" t="str">
        <x:v>Fran</x:v>
      </x:c>
      <x:c r="E8" t="n">
        <x:v>1</x:v>
      </x:c>
      <x:c r="F8" s="22" t="n">
        <x:v>1</x:v>
      </x:c>
      <x:c r="G8" s="16" t="n">
        <x:v>20</x:v>
      </x:c>
    </x:row>
    <x:row r="9" ht="15" hidden="0" customHeight="1">
      <x:c r="A9" t="n">
        <x:v>9</x:v>
      </x:c>
      <x:c r="B9" t="str">
        <x:v>2.2</x:v>
      </x:c>
      <x:c r="C9" t="str">
        <x:v>Definición de tareas del proyecto</x:v>
      </x:c>
      <x:c r="D9" t="str">
        <x:v>Josan</x:v>
      </x:c>
      <x:c r="E9" t="n">
        <x:v>1</x:v>
      </x:c>
      <x:c r="F9" s="22" t="n">
        <x:v>1</x:v>
      </x:c>
      <x:c r="G9" s="16" t="n">
        <x:v>20</x:v>
      </x:c>
    </x:row>
    <x:row r="10" ht="15" hidden="0" customHeight="1">
      <x:c r="A10" t="n">
        <x:v>13</x:v>
      </x:c>
      <x:c r="B10" t="str">
        <x:v>2.3</x:v>
      </x:c>
      <x:c r="C10" t="str">
        <x:v>Creación del Gantt inicial y línea base</x:v>
      </x:c>
      <x:c r="D10" t="str">
        <x:v>Josan</x:v>
      </x:c>
      <x:c r="E10" t="n">
        <x:v>1</x:v>
      </x:c>
      <x:c r="F10" s="22" t="n">
        <x:v>1</x:v>
      </x:c>
      <x:c r="G10" s="16" t="n">
        <x:v>20</x:v>
      </x:c>
    </x:row>
    <x:row r="11" ht="15" hidden="0" customHeight="1">
      <x:c r="A11" t="n">
        <x:v>14</x:v>
      </x:c>
      <x:c r="B11" t="str">
        <x:v>3.1</x:v>
      </x:c>
      <x:c r="C11" t="str">
        <x:v>Diseño Entidad-Relación</x:v>
      </x:c>
      <x:c r="D11" t="str">
        <x:v>Fran</x:v>
      </x:c>
      <x:c r="E11" t="n">
        <x:v>1</x:v>
      </x:c>
      <x:c r="F11" s="22" t="n">
        <x:v>1</x:v>
      </x:c>
      <x:c r="G11" s="16" t="n">
        <x:v>20</x:v>
      </x:c>
    </x:row>
    <x:row r="12" ht="15" hidden="0" customHeight="1">
      <x:c r="A12" t="n">
        <x:v>15</x:v>
      </x:c>
      <x:c r="B12" t="str">
        <x:v>3.2</x:v>
      </x:c>
      <x:c r="C12" t="str">
        <x:v>Diseño del modelo relacional</x:v>
      </x:c>
      <x:c r="D12" t="str">
        <x:v>Fran</x:v>
      </x:c>
      <x:c r="E12" t="n">
        <x:v>1</x:v>
      </x:c>
      <x:c r="F12" s="22" t="n">
        <x:v>1</x:v>
      </x:c>
      <x:c r="G12" s="16" t="n">
        <x:v>20</x:v>
      </x:c>
    </x:row>
    <x:row r="13" ht="15" hidden="0" customHeight="1">
      <x:c r="A13" t="n">
        <x:v>16</x:v>
      </x:c>
      <x:c r="B13" t="str">
        <x:v>3.3</x:v>
      </x:c>
      <x:c r="C13" t="str">
        <x:v>Diseño del esquema físico</x:v>
      </x:c>
      <x:c r="D13" t="str">
        <x:v>Fran</x:v>
      </x:c>
      <x:c r="E13" t="n">
        <x:v>1</x:v>
      </x:c>
      <x:c r="F13" s="22" t="n">
        <x:v>1</x:v>
      </x:c>
      <x:c r="G13" s="16" t="n">
        <x:v>20</x:v>
      </x:c>
    </x:row>
    <x:row r="14" ht="15" hidden="0" customHeight="1">
      <x:c r="A14" t="n">
        <x:v>17</x:v>
      </x:c>
      <x:c r="B14" t="str">
        <x:v>3.4</x:v>
      </x:c>
      <x:c r="C14" t="str">
        <x:v>Creación de tablas SQL</x:v>
      </x:c>
      <x:c r="D14" t="str">
        <x:v>Fran</x:v>
      </x:c>
      <x:c r="E14" t="n">
        <x:v>1</x:v>
      </x:c>
      <x:c r="F14" s="22" t="n">
        <x:v>1</x:v>
      </x:c>
      <x:c r="G14" s="16" t="n">
        <x:v>20</x:v>
      </x:c>
    </x:row>
    <x:row r="15" ht="15" hidden="0" customHeight="1">
      <x:c r="A15" t="n">
        <x:v>18</x:v>
      </x:c>
      <x:c r="B15" t="str">
        <x:v>3.5</x:v>
      </x:c>
      <x:c r="C15" t="str">
        <x:v>Pruebas de la base de datos</x:v>
      </x:c>
      <x:c r="D15" t="str">
        <x:v>Fran</x:v>
      </x:c>
      <x:c r="E15" t="n">
        <x:v>1</x:v>
      </x:c>
      <x:c r="F15" s="22" t="n">
        <x:v>1</x:v>
      </x:c>
      <x:c r="G15" s="16" t="n">
        <x:v>20</x:v>
      </x:c>
    </x:row>
    <x:row r="16" ht="15" hidden="0" customHeight="1">
      <x:c r="A16" t="n">
        <x:v>19</x:v>
      </x:c>
      <x:c r="B16" t="str">
        <x:v>4.1</x:v>
      </x:c>
      <x:c r="C16" t="str">
        <x:v>Estructura inicial de carpetas</x:v>
      </x:c>
      <x:c r="D16" t="str">
        <x:v>Josan</x:v>
      </x:c>
      <x:c r="E16" t="n">
        <x:v>1</x:v>
      </x:c>
      <x:c r="F16" s="22" t="n">
        <x:v>1</x:v>
      </x:c>
      <x:c r="G16" s="16" t="n">
        <x:v>20</x:v>
      </x:c>
    </x:row>
    <x:row r="17" ht="15" hidden="0" customHeight="1">
      <x:c r="A17" t="n">
        <x:v>20</x:v>
      </x:c>
      <x:c r="B17" t="str">
        <x:v>4.2</x:v>
      </x:c>
      <x:c r="C17" t="str">
        <x:v>Diseño de página Home</x:v>
      </x:c>
      <x:c r="D17" t="str">
        <x:v>Fran</x:v>
      </x:c>
      <x:c r="E17" t="n">
        <x:v>1</x:v>
      </x:c>
      <x:c r="F17" s="22" t="n">
        <x:v>1</x:v>
      </x:c>
      <x:c r="G17" s="16" t="n">
        <x:v>20</x:v>
      </x:c>
    </x:row>
    <x:row r="18" ht="15" hidden="0" customHeight="1">
      <x:c r="A18" t="n">
        <x:v>21</x:v>
      </x:c>
      <x:c r="B18" t="str">
        <x:v>4.3</x:v>
      </x:c>
      <x:c r="C18" t="str">
        <x:v>Formulario de usuario y pasaporte</x:v>
      </x:c>
      <x:c r="D18" t="str">
        <x:v>Fran</x:v>
      </x:c>
      <x:c r="E18" t="n">
        <x:v>1</x:v>
      </x:c>
      <x:c r="F18" s="22" t="n">
        <x:v>1</x:v>
      </x:c>
      <x:c r="G18" s="16" t="n">
        <x:v>20</x:v>
      </x:c>
    </x:row>
    <x:row r="19" ht="15" hidden="0" customHeight="1">
      <x:c r="A19" t="n">
        <x:v>21</x:v>
      </x:c>
      <x:c r="B19" t="str">
        <x:v>4.3</x:v>
      </x:c>
      <x:c r="C19" t="str">
        <x:v>Formulario de usuario y pasaporte</x:v>
      </x:c>
      <x:c r="D19" t="str">
        <x:v>Josan</x:v>
      </x:c>
      <x:c r="E19" t="n">
        <x:v>1</x:v>
      </x:c>
      <x:c r="F19" s="22" t="n">
        <x:v>1</x:v>
      </x:c>
      <x:c r="G19" s="16" t="n">
        <x:v>20</x:v>
      </x:c>
    </x:row>
    <x:row r="20" ht="15" hidden="0" customHeight="1">
      <x:c r="A20" t="n">
        <x:v>22</x:v>
      </x:c>
      <x:c r="B20" t="str">
        <x:v>4.4</x:v>
      </x:c>
      <x:c r="C20" t="str">
        <x:v>Formulario de destino</x:v>
      </x:c>
      <x:c r="D20" t="str">
        <x:v>Fran</x:v>
      </x:c>
      <x:c r="E20" t="n">
        <x:v>1</x:v>
      </x:c>
      <x:c r="F20" s="22" t="n">
        <x:v>1</x:v>
      </x:c>
      <x:c r="G20" s="16" t="n">
        <x:v>20</x:v>
      </x:c>
    </x:row>
    <x:row r="21" ht="15" hidden="0" customHeight="1">
      <x:c r="A21" t="n">
        <x:v>23</x:v>
      </x:c>
      <x:c r="B21" t="str">
        <x:v>4.5</x:v>
      </x:c>
      <x:c r="C21" t="str">
        <x:v>Formulario de guía</x:v>
      </x:c>
      <x:c r="D21" t="str">
        <x:v>Josan</x:v>
      </x:c>
      <x:c r="E21" t="n">
        <x:v>1</x:v>
      </x:c>
      <x:c r="F21" s="22" t="n">
        <x:v>1</x:v>
      </x:c>
      <x:c r="G21" s="16" t="n">
        <x:v>20</x:v>
      </x:c>
    </x:row>
    <x:row r="22" ht="15" hidden="0" customHeight="1">
      <x:c r="A22" t="n">
        <x:v>24</x:v>
      </x:c>
      <x:c r="B22" t="str">
        <x:v>4.6</x:v>
      </x:c>
      <x:c r="C22" t="str">
        <x:v>Página de listado de destinos</x:v>
      </x:c>
      <x:c r="D22" t="str">
        <x:v>Fran</x:v>
      </x:c>
      <x:c r="E22" t="n">
        <x:v>1</x:v>
      </x:c>
      <x:c r="F22" s="22" t="n">
        <x:v>1</x:v>
      </x:c>
      <x:c r="G22" s="16" t="n">
        <x:v>20</x:v>
      </x:c>
    </x:row>
    <x:row r="23" ht="15" hidden="0" customHeight="1">
      <x:c r="A23" t="n">
        <x:v>25</x:v>
      </x:c>
      <x:c r="B23" t="str">
        <x:v>4.7</x:v>
      </x:c>
      <x:c r="C23" t="str">
        <x:v>Página de listado de usuarios</x:v>
      </x:c>
      <x:c r="D23" t="str">
        <x:v>Josan</x:v>
      </x:c>
      <x:c r="E23" t="n">
        <x:v>1</x:v>
      </x:c>
      <x:c r="F23" s="22" t="n">
        <x:v>1</x:v>
      </x:c>
      <x:c r="G23" s="16" t="n">
        <x:v>20</x:v>
      </x:c>
    </x:row>
    <x:row r="24" ht="15" hidden="0" customHeight="1">
      <x:c r="A24" t="n">
        <x:v>26</x:v>
      </x:c>
      <x:c r="B24" t="str">
        <x:v>4.8</x:v>
      </x:c>
      <x:c r="C24" t="str">
        <x:v>Validaciones JS y mensajes</x:v>
      </x:c>
      <x:c r="D24" t="str">
        <x:v>Fran</x:v>
      </x:c>
      <x:c r="E24" t="n">
        <x:v>1</x:v>
      </x:c>
      <x:c r="F24" s="22" t="n">
        <x:v>1</x:v>
      </x:c>
      <x:c r="G24" s="16" t="n">
        <x:v>20</x:v>
      </x:c>
    </x:row>
    <x:row r="25" ht="15" hidden="0" customHeight="1">
      <x:c r="A25" t="n">
        <x:v>26</x:v>
      </x:c>
      <x:c r="B25" t="str">
        <x:v>4.8</x:v>
      </x:c>
      <x:c r="C25" t="str">
        <x:v>Validaciones JS y mensajes</x:v>
      </x:c>
      <x:c r="D25" t="str">
        <x:v>Josan</x:v>
      </x:c>
      <x:c r="E25" t="n">
        <x:v>1</x:v>
      </x:c>
      <x:c r="F25" s="22" t="n">
        <x:v>1</x:v>
      </x:c>
      <x:c r="G25" s="16" t="n">
        <x:v>20</x:v>
      </x:c>
    </x:row>
    <x:row r="26" ht="15" hidden="0" customHeight="1">
      <x:c r="A26" t="n">
        <x:v>27</x:v>
      </x:c>
      <x:c r="B26" t="str">
        <x:v>5.1</x:v>
      </x:c>
      <x:c r="C26" t="str">
        <x:v>Revisión del backend proporcionado</x:v>
      </x:c>
      <x:c r="D26" t="str">
        <x:v>Fran</x:v>
      </x:c>
      <x:c r="E26" t="n">
        <x:v>1</x:v>
      </x:c>
      <x:c r="F26" s="22" t="n">
        <x:v>1</x:v>
      </x:c>
      <x:c r="G26" s="16" t="n">
        <x:v>20</x:v>
      </x:c>
    </x:row>
    <x:row r="27" ht="15" hidden="0" customHeight="1">
      <x:c r="A27" t="n">
        <x:v>27</x:v>
      </x:c>
      <x:c r="B27" t="str">
        <x:v>5.1</x:v>
      </x:c>
      <x:c r="C27" t="str">
        <x:v>Revisión del backend proporcionado</x:v>
      </x:c>
      <x:c r="D27" t="str">
        <x:v>Josan</x:v>
      </x:c>
      <x:c r="E27" t="n">
        <x:v>1</x:v>
      </x:c>
      <x:c r="F27" s="22" t="n">
        <x:v>1</x:v>
      </x:c>
      <x:c r="G27" s="16" t="n">
        <x:v>20</x:v>
      </x:c>
    </x:row>
    <x:row r="28" ht="15" hidden="0" customHeight="1">
      <x:c r="A28" t="n">
        <x:v>28</x:v>
      </x:c>
      <x:c r="B28" t="str">
        <x:v>5.2</x:v>
      </x:c>
      <x:c r="C28" t="str">
        <x:v>Entidad Usuario</x:v>
      </x:c>
      <x:c r="D28" t="str">
        <x:v>Fran</x:v>
      </x:c>
      <x:c r="E28" t="n">
        <x:v>1</x:v>
      </x:c>
      <x:c r="F28" s="22" t="n">
        <x:v>1</x:v>
      </x:c>
      <x:c r="G28" s="16" t="n">
        <x:v>20</x:v>
      </x:c>
    </x:row>
    <x:row r="29" ht="15" hidden="0" customHeight="1">
      <x:c r="A29" t="n">
        <x:v>29</x:v>
      </x:c>
      <x:c r="B29" t="str">
        <x:v>5.3</x:v>
      </x:c>
      <x:c r="C29" t="str">
        <x:v>Entidad Destino</x:v>
      </x:c>
      <x:c r="D29" t="str">
        <x:v>Josan</x:v>
      </x:c>
      <x:c r="E29" t="n">
        <x:v>1</x:v>
      </x:c>
      <x:c r="F29" s="22" t="n">
        <x:v>1</x:v>
      </x:c>
      <x:c r="G29" s="16" t="n">
        <x:v>20</x:v>
      </x:c>
    </x:row>
    <x:row r="30" ht="15" hidden="0" customHeight="1">
      <x:c r="A30" t="n">
        <x:v>30</x:v>
      </x:c>
      <x:c r="B30" t="str">
        <x:v>5.4</x:v>
      </x:c>
      <x:c r="C30" t="str">
        <x:v>Entidad Guía</x:v>
      </x:c>
      <x:c r="D30" t="str">
        <x:v>Fran</x:v>
      </x:c>
      <x:c r="E30" t="n">
        <x:v>1</x:v>
      </x:c>
      <x:c r="F30" s="22" t="n">
        <x:v>1</x:v>
      </x:c>
      <x:c r="G30" s="16" t="n">
        <x:v>20</x:v>
      </x:c>
    </x:row>
    <x:row r="31" ht="15" hidden="0" customHeight="1">
      <x:c r="A31" t="n">
        <x:v>31</x:v>
      </x:c>
      <x:c r="B31" t="str">
        <x:v>5.5</x:v>
      </x:c>
      <x:c r="C31" t="str">
        <x:v>UsuarioController, Service y Repository</x:v>
      </x:c>
      <x:c r="D31" t="str">
        <x:v>Fran</x:v>
      </x:c>
      <x:c r="E31" t="n">
        <x:v>1</x:v>
      </x:c>
      <x:c r="F31" s="22" t="n">
        <x:v>1</x:v>
      </x:c>
      <x:c r="G31" s="16" t="n">
        <x:v>20</x:v>
      </x:c>
    </x:row>
    <x:row r="32" ht="15" hidden="0" customHeight="1">
      <x:c r="A32" t="n">
        <x:v>32</x:v>
      </x:c>
      <x:c r="B32" t="str">
        <x:v>5.6</x:v>
      </x:c>
      <x:c r="C32" t="str">
        <x:v>DestinoController, Service y Repository</x:v>
      </x:c>
      <x:c r="D32" t="str">
        <x:v>Josan</x:v>
      </x:c>
      <x:c r="E32" t="n">
        <x:v>1</x:v>
      </x:c>
      <x:c r="F32" s="22" t="n">
        <x:v>1</x:v>
      </x:c>
      <x:c r="G32" s="16" t="n">
        <x:v>20</x:v>
      </x:c>
    </x:row>
    <x:row r="33" ht="15" hidden="0" customHeight="1">
      <x:c r="A33" t="n">
        <x:v>33</x:v>
      </x:c>
      <x:c r="B33" t="str">
        <x:v>5.7</x:v>
      </x:c>
      <x:c r="C33" t="str">
        <x:v>GuiaController, Service y Repository</x:v>
      </x:c>
      <x:c r="D33" t="str">
        <x:v>Fran</x:v>
      </x:c>
      <x:c r="E33" t="n">
        <x:v>1</x:v>
      </x:c>
      <x:c r="F33" s="22" t="n">
        <x:v>1</x:v>
      </x:c>
      <x:c r="G33" s="16" t="n">
        <x:v>20</x:v>
      </x:c>
    </x:row>
    <x:row r="34" ht="15" hidden="0" customHeight="1">
      <x:c r="A34" t="n">
        <x:v>34</x:v>
      </x:c>
      <x:c r="B34" t="str">
        <x:v>5.8</x:v>
      </x:c>
      <x:c r="C34" t="str">
        <x:v>Pruebas de endpoints REST</x:v>
      </x:c>
      <x:c r="D34" t="str">
        <x:v>Fran</x:v>
      </x:c>
      <x:c r="E34" t="n">
        <x:v>1</x:v>
      </x:c>
      <x:c r="F34" s="22" t="n">
        <x:v>1</x:v>
      </x:c>
      <x:c r="G34" s="16" t="n">
        <x:v>20</x:v>
      </x:c>
    </x:row>
    <x:row r="35" ht="15" hidden="0" customHeight="1">
      <x:c r="A35" t="n">
        <x:v>34</x:v>
      </x:c>
      <x:c r="B35" t="str">
        <x:v>5.8</x:v>
      </x:c>
      <x:c r="C35" t="str">
        <x:v>Pruebas de endpoints REST</x:v>
      </x:c>
      <x:c r="D35" t="str">
        <x:v>Josan</x:v>
      </x:c>
      <x:c r="E35" t="n">
        <x:v>1</x:v>
      </x:c>
      <x:c r="F35" s="22" t="n">
        <x:v>1</x:v>
      </x:c>
      <x:c r="G35" s="16" t="n">
        <x:v>20</x:v>
      </x:c>
    </x:row>
    <x:row r="36" ht="15" hidden="0" customHeight="1">
      <x:c r="A36" t="n">
        <x:v>35</x:v>
      </x:c>
      <x:c r="B36" t="str">
        <x:v>6.1</x:v>
      </x:c>
      <x:c r="C36" t="str">
        <x:v>Conexión formularios con backend</x:v>
      </x:c>
      <x:c r="D36" t="str">
        <x:v>Fran</x:v>
      </x:c>
      <x:c r="E36" t="n">
        <x:v>1</x:v>
      </x:c>
      <x:c r="F36" s="22" t="n">
        <x:v>1</x:v>
      </x:c>
      <x:c r="G36" s="16" t="n">
        <x:v>20</x:v>
      </x:c>
    </x:row>
    <x:row r="37" ht="15" hidden="0" customHeight="1">
      <x:c r="A37" t="n">
        <x:v>35</x:v>
      </x:c>
      <x:c r="B37" t="str">
        <x:v>6.1</x:v>
      </x:c>
      <x:c r="C37" t="str">
        <x:v>Conexión formularios con backend</x:v>
      </x:c>
      <x:c r="D37" t="str">
        <x:v>Josan</x:v>
      </x:c>
      <x:c r="E37" t="n">
        <x:v>1</x:v>
      </x:c>
      <x:c r="F37" s="22" t="n">
        <x:v>1</x:v>
      </x:c>
      <x:c r="G37" s="16" t="n">
        <x:v>20</x:v>
      </x:c>
    </x:row>
    <x:row r="38" ht="15" hidden="0" customHeight="1">
      <x:c r="A38" t="n">
        <x:v>36</x:v>
      </x:c>
      <x:c r="B38" t="str">
        <x:v>6.2</x:v>
      </x:c>
      <x:c r="C38" t="str">
        <x:v>Conexión listados con backend</x:v>
      </x:c>
      <x:c r="D38" t="str">
        <x:v>Fran</x:v>
      </x:c>
      <x:c r="E38" t="n">
        <x:v>1</x:v>
      </x:c>
      <x:c r="F38" s="22" t="n">
        <x:v>1</x:v>
      </x:c>
      <x:c r="G38" s="16" t="n">
        <x:v>20</x:v>
      </x:c>
    </x:row>
    <x:row r="39" ht="15" hidden="0" customHeight="1">
      <x:c r="A39" t="n">
        <x:v>36</x:v>
      </x:c>
      <x:c r="B39" t="str">
        <x:v>6.2</x:v>
      </x:c>
      <x:c r="C39" t="str">
        <x:v>Conexión listados con backend</x:v>
      </x:c>
      <x:c r="D39" t="str">
        <x:v>Josan</x:v>
      </x:c>
      <x:c r="E39" t="n">
        <x:v>1</x:v>
      </x:c>
      <x:c r="F39" s="22" t="n">
        <x:v>1</x:v>
      </x:c>
      <x:c r="G39" s="16" t="n">
        <x:v>20</x:v>
      </x:c>
    </x:row>
    <x:row r="40" ht="15" hidden="0" customHeight="1">
      <x:c r="A40" t="n">
        <x:v>37</x:v>
      </x:c>
      <x:c r="B40" t="str">
        <x:v>6.3</x:v>
      </x:c>
      <x:c r="C40" t="str">
        <x:v>Pruebas CRUD completas</x:v>
      </x:c>
      <x:c r="D40" t="str">
        <x:v>Fran</x:v>
      </x:c>
      <x:c r="E40" t="n">
        <x:v>1</x:v>
      </x:c>
      <x:c r="F40" s="22" t="n">
        <x:v>1</x:v>
      </x:c>
      <x:c r="G40" s="16" t="n">
        <x:v>20</x:v>
      </x:c>
    </x:row>
    <x:row r="41" ht="15" hidden="0" customHeight="1">
      <x:c r="A41" t="n">
        <x:v>37</x:v>
      </x:c>
      <x:c r="B41" t="str">
        <x:v>6.3</x:v>
      </x:c>
      <x:c r="C41" t="str">
        <x:v>Pruebas CRUD completas</x:v>
      </x:c>
      <x:c r="D41" t="str">
        <x:v>Josan</x:v>
      </x:c>
      <x:c r="E41" t="n">
        <x:v>1</x:v>
      </x:c>
      <x:c r="F41" s="22" t="n">
        <x:v>1</x:v>
      </x:c>
      <x:c r="G41" s="16" t="n">
        <x:v>20</x:v>
      </x:c>
    </x:row>
    <x:row r="42" ht="15" hidden="0" customHeight="1">
      <x:c r="A42" t="n">
        <x:v>38</x:v>
      </x:c>
      <x:c r="B42" t="str">
        <x:v>6.4</x:v>
      </x:c>
      <x:c r="C42" t="str">
        <x:v>Corrección de errores de integración</x:v>
      </x:c>
      <x:c r="D42" t="str">
        <x:v>Fran</x:v>
      </x:c>
      <x:c r="E42" t="n">
        <x:v>1</x:v>
      </x:c>
      <x:c r="F42" s="22" t="n">
        <x:v>1</x:v>
      </x:c>
      <x:c r="G42" s="16" t="n">
        <x:v>20</x:v>
      </x:c>
    </x:row>
    <x:row r="43" ht="15" hidden="0" customHeight="1">
      <x:c r="A43" t="n">
        <x:v>38</x:v>
      </x:c>
      <x:c r="B43" t="str">
        <x:v>6.4</x:v>
      </x:c>
      <x:c r="C43" t="str">
        <x:v>Corrección de errores de integración</x:v>
      </x:c>
      <x:c r="D43" t="str">
        <x:v>Josan</x:v>
      </x:c>
      <x:c r="E43" t="n">
        <x:v>1</x:v>
      </x:c>
      <x:c r="F43" s="22" t="n">
        <x:v>1</x:v>
      </x:c>
      <x:c r="G43" s="16" t="n">
        <x:v>20</x:v>
      </x:c>
    </x:row>
    <x:row r="44" ht="15" hidden="0" customHeight="1">
      <x:c r="A44" t="n">
        <x:v>39</x:v>
      </x:c>
      <x:c r="B44" t="str">
        <x:v>7.1</x:v>
      </x:c>
      <x:c r="C44" t="str">
        <x:v>Documentación de base de datos</x:v>
      </x:c>
      <x:c r="D44" t="str">
        <x:v>Fran</x:v>
      </x:c>
      <x:c r="E44" t="n">
        <x:v>1</x:v>
      </x:c>
      <x:c r="F44" s="22" t="n">
        <x:v>1</x:v>
      </x:c>
      <x:c r="G44" s="16" t="n">
        <x:v>20</x:v>
      </x:c>
    </x:row>
    <x:row r="45" ht="15" hidden="0" customHeight="1">
      <x:c r="A45" t="n">
        <x:v>40</x:v>
      </x:c>
      <x:c r="B45" t="str">
        <x:v>7.2</x:v>
      </x:c>
      <x:c r="C45" t="str">
        <x:v>Capturas del Gantt inicial</x:v>
      </x:c>
      <x:c r="D45" t="str">
        <x:v>Josan</x:v>
      </x:c>
      <x:c r="E45" t="n">
        <x:v>1</x:v>
      </x:c>
      <x:c r="F45" s="22" t="n">
        <x:v>1</x:v>
      </x:c>
      <x:c r="G45" s="16" t="n">
        <x:v>20</x:v>
      </x:c>
    </x:row>
    <x:row r="46" ht="15" hidden="0" customHeight="1">
      <x:c r="A46" t="n">
        <x:v>41</x:v>
      </x:c>
      <x:c r="B46" t="str">
        <x:v>7.3</x:v>
      </x:c>
      <x:c r="C46" t="str">
        <x:v>Documentación del desarrollo</x:v>
      </x:c>
      <x:c r="D46" t="str">
        <x:v>Fran</x:v>
      </x:c>
      <x:c r="E46" t="n">
        <x:v>1</x:v>
      </x:c>
      <x:c r="F46" s="22" t="n">
        <x:v>1</x:v>
      </x:c>
      <x:c r="G46" s="16" t="n">
        <x:v>20</x:v>
      </x:c>
    </x:row>
    <x:row r="47" ht="15" hidden="0" customHeight="1">
      <x:c r="A47" t="n">
        <x:v>41</x:v>
      </x:c>
      <x:c r="B47" t="str">
        <x:v>7.3</x:v>
      </x:c>
      <x:c r="C47" t="str">
        <x:v>Documentación del desarrollo</x:v>
      </x:c>
      <x:c r="D47" t="str">
        <x:v>Josan</x:v>
      </x:c>
      <x:c r="E47" t="n">
        <x:v>1</x:v>
      </x:c>
      <x:c r="F47" s="22" t="n">
        <x:v>1</x:v>
      </x:c>
      <x:c r="G47" s="16" t="n">
        <x:v>20</x:v>
      </x:c>
    </x:row>
    <x:row r="48" ht="15" hidden="0" customHeight="1">
      <x:c r="A48" t="n">
        <x:v>42</x:v>
      </x:c>
      <x:c r="B48" t="str">
        <x:v>7.4</x:v>
      </x:c>
      <x:c r="C48" t="str">
        <x:v>WBS con costes presupuestados</x:v>
      </x:c>
      <x:c r="D48" t="str">
        <x:v>Fran</x:v>
      </x:c>
      <x:c r="E48" t="n">
        <x:v>1</x:v>
      </x:c>
      <x:c r="F48" s="22" t="n">
        <x:v>1</x:v>
      </x:c>
      <x:c r="G48" s="16" t="n">
        <x:v>20</x:v>
      </x:c>
    </x:row>
    <x:row r="49" ht="15" hidden="0" customHeight="1">
      <x:c r="A49" t="n">
        <x:v>43</x:v>
      </x:c>
      <x:c r="B49" t="str">
        <x:v>7.5</x:v>
      </x:c>
      <x:c r="C49" t="str">
        <x:v>Maquetación final de la memoria</x:v>
      </x:c>
      <x:c r="D49" t="str">
        <x:v>Fran</x:v>
      </x:c>
      <x:c r="E49" t="n">
        <x:v>1</x:v>
      </x:c>
      <x:c r="F49" s="22" t="n">
        <x:v>1</x:v>
      </x:c>
      <x:c r="G49" s="16" t="n">
        <x:v>20</x:v>
      </x:c>
    </x:row>
    <x:row r="50" ht="15" hidden="0" customHeight="1">
      <x:c r="A50" t="n">
        <x:v>44</x:v>
      </x:c>
      <x:c r="B50" t="str">
        <x:v>8.1</x:v>
      </x:c>
      <x:c r="C50" t="str">
        <x:v>Revisión general del proyecto</x:v>
      </x:c>
      <x:c r="D50" t="str">
        <x:v>Fran</x:v>
      </x:c>
      <x:c r="E50" t="n">
        <x:v>1</x:v>
      </x:c>
      <x:c r="F50" s="22" t="n">
        <x:v>1</x:v>
      </x:c>
      <x:c r="G50" s="16" t="n">
        <x:v>20</x:v>
      </x:c>
    </x:row>
    <x:row r="51" ht="15" hidden="0" customHeight="1">
      <x:c r="A51" t="n">
        <x:v>44</x:v>
      </x:c>
      <x:c r="B51" t="str">
        <x:v>8.1</x:v>
      </x:c>
      <x:c r="C51" t="str">
        <x:v>Revisión general del proyecto</x:v>
      </x:c>
      <x:c r="D51" t="str">
        <x:v>Josan</x:v>
      </x:c>
      <x:c r="E51" t="n">
        <x:v>1</x:v>
      </x:c>
      <x:c r="F51" s="22" t="n">
        <x:v>1</x:v>
      </x:c>
      <x:c r="G51" s="16" t="n">
        <x:v>20</x:v>
      </x:c>
    </x:row>
    <x:row r="52" ht="15" hidden="0" customHeight="1">
      <x:c r="A52" t="n">
        <x:v>45</x:v>
      </x:c>
      <x:c r="B52" t="str">
        <x:v>8.2</x:v>
      </x:c>
      <x:c r="C52" t="str">
        <x:v>Ajustes finales</x:v>
      </x:c>
      <x:c r="D52" t="str">
        <x:v>Fran</x:v>
      </x:c>
      <x:c r="E52" t="n">
        <x:v>1</x:v>
      </x:c>
      <x:c r="F52" s="22" t="n">
        <x:v>1</x:v>
      </x:c>
      <x:c r="G52" s="16" t="n">
        <x:v>20</x:v>
      </x:c>
    </x:row>
    <x:row r="53" ht="15" hidden="0" customHeight="1">
      <x:c r="A53" t="n">
        <x:v>45</x:v>
      </x:c>
      <x:c r="B53" t="str">
        <x:v>8.2</x:v>
      </x:c>
      <x:c r="C53" t="str">
        <x:v>Ajustes finales</x:v>
      </x:c>
      <x:c r="D53" t="str">
        <x:v>Josan</x:v>
      </x:c>
      <x:c r="E53" t="n">
        <x:v>1</x:v>
      </x:c>
      <x:c r="F53" s="22" t="n">
        <x:v>1</x:v>
      </x:c>
      <x:c r="G53" s="16" t="n">
        <x:v>20</x:v>
      </x:c>
    </x:row>
    <x:row r="54" ht="15" hidden="0" customHeight="1">
      <x:c r="A54" t="n">
        <x:v>46</x:v>
      </x:c>
      <x:c r="B54" t="str">
        <x:v>8.3</x:v>
      </x:c>
      <x:c r="C54" t="str">
        <x:v>Entrega y preparación de exposición</x:v>
      </x:c>
      <x:c r="D54" t="str">
        <x:v>Fran</x:v>
      </x:c>
      <x:c r="E54" t="n">
        <x:v>1</x:v>
      </x:c>
      <x:c r="F54" s="22" t="n">
        <x:v>1</x:v>
      </x:c>
      <x:c r="G54" s="16" t="n">
        <x:v>20</x:v>
      </x:c>
    </x:row>
    <x:row r="55" ht="15" hidden="0" customHeight="1">
      <x:c r="A55" t="n">
        <x:v>46</x:v>
      </x:c>
      <x:c r="B55" t="str">
        <x:v>8.3</x:v>
      </x:c>
      <x:c r="C55" t="str">
        <x:v>Entrega y preparación de exposición</x:v>
      </x:c>
      <x:c r="D55" t="str">
        <x:v>Josan</x:v>
      </x:c>
      <x:c r="E55" t="n">
        <x:v>1</x:v>
      </x:c>
      <x:c r="F55" s="22" t="n">
        <x:v>1</x:v>
      </x:c>
      <x:c r="G55" s="16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49c15cda9acc4f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19.53125" hidden="0" customHeight="1">
      <x:c r="A1" s="2" t="str">
        <x:v>Seguimiento final y desviaciones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</x:row>
    <x:row r="2"/>
    <x:row r="3"/>
    <x:row r="4" ht="15" hidden="0" customHeight="1">
      <x:c r="A4" s="12" t="str">
        <x:v>ID</x:v>
      </x:c>
      <x:c r="B4" s="12" t="str">
        <x:v>WBS</x:v>
      </x:c>
      <x:c r="C4" s="12" t="str">
        <x:v>Tarea</x:v>
      </x:c>
      <x:c r="D4" s="12" t="str">
        <x:v>Inicio previsto</x:v>
      </x:c>
      <x:c r="E4" s="12" t="str">
        <x:v>Fin previsto</x:v>
      </x:c>
      <x:c r="F4" s="12" t="str">
        <x:v>Duración prevista</x:v>
      </x:c>
      <x:c r="G4" s="12" t="str">
        <x:v>Inicio real</x:v>
      </x:c>
      <x:c r="H4" s="12" t="str">
        <x:v>Fin real</x:v>
      </x:c>
      <x:c r="I4" s="12" t="str">
        <x:v>Duración real</x:v>
      </x:c>
      <x:c r="J4" s="12" t="str">
        <x:v>Coste presupuestado</x:v>
      </x:c>
      <x:c r="K4" s="12" t="str">
        <x:v>Coste final</x:v>
      </x:c>
      <x:c r="L4" s="12" t="str">
        <x:v>Desviación coste</x:v>
      </x:c>
    </x:row>
    <x:row r="5" ht="15" hidden="0" customHeight="1">
      <x:c r="A5" s="42" t="n">
        <x:v>0</x:v>
      </x:c>
      <x:c r="B5" s="42" t="str">
        <x:v>1</x:v>
      </x:c>
      <x:c r="C5" s="42" t="str">
        <x:v>Inicio del proyecto</x:v>
      </x:c>
      <x:c r="D5" s="48" t="n">
        <x:v>46141</x:v>
      </x:c>
      <x:c r="E5" s="48" t="n">
        <x:v>46143</x:v>
      </x:c>
      <x:c r="F5" s="42" t="n">
        <x:v>3</x:v>
      </x:c>
      <x:c r="G5" s="48" t="str"/>
      <x:c r="H5" s="48" t="str"/>
      <x:c r="I5" s="42" t="str"/>
      <x:c r="J5" s="43" t="n">
        <x:v>80</x:v>
      </x:c>
      <x:c r="K5" s="43" t="n">
        <x:f>J5</x:f>
        <x:v>80</x:v>
      </x:c>
      <x:c r="L5" s="43" t="n">
        <x:f>K5-J5</x:f>
        <x:v>0</x:v>
      </x:c>
    </x:row>
    <x:row r="6" ht="15" hidden="0" customHeight="1">
      <x:c r="A6" s="38" t="n">
        <x:v>8</x:v>
      </x:c>
      <x:c r="B6" s="38" t="str">
        <x:v>1.1</x:v>
      </x:c>
      <x:c r="C6" s="38" t="str">
        <x:v>Lectura del enunciado y reparto de roles</x:v>
      </x:c>
      <x:c r="D6" s="40" t="n">
        <x:v>46141</x:v>
      </x:c>
      <x:c r="E6" s="40" t="n">
        <x:v>46141</x:v>
      </x:c>
      <x:c r="F6" s="38" t="n">
        <x:v>1</x:v>
      </x:c>
      <x:c r="G6" s="40" t="str"/>
      <x:c r="H6" s="40" t="str"/>
      <x:c r="I6" s="38" t="str"/>
      <x:c r="J6" s="41" t="n">
        <x:v>40</x:v>
      </x:c>
      <x:c r="K6" s="41" t="n">
        <x:f>IF(I6="",J6,I6*2*20)</x:f>
        <x:v>40</x:v>
      </x:c>
      <x:c r="L6" s="41" t="n">
        <x:f>K6-J6</x:f>
        <x:v>0</x:v>
      </x:c>
    </x:row>
    <x:row r="7" ht="15" hidden="0" customHeight="1">
      <x:c r="A7" s="38" t="n">
        <x:v>10</x:v>
      </x:c>
      <x:c r="B7" s="38" t="str">
        <x:v>1.2</x:v>
      </x:c>
      <x:c r="C7" s="38" t="str">
        <x:v>Creación del repositorio GitHub</x:v>
      </x:c>
      <x:c r="D7" s="40" t="n">
        <x:v>46142</x:v>
      </x:c>
      <x:c r="E7" s="40" t="n">
        <x:v>46142</x:v>
      </x:c>
      <x:c r="F7" s="38" t="n">
        <x:v>1</x:v>
      </x:c>
      <x:c r="G7" s="40" t="str"/>
      <x:c r="H7" s="40" t="str"/>
      <x:c r="I7" s="38" t="str"/>
      <x:c r="J7" s="41" t="n">
        <x:v>20</x:v>
      </x:c>
      <x:c r="K7" s="41" t="n">
        <x:f>IF(I7="",J7,I7*1*20)</x:f>
        <x:v>20</x:v>
      </x:c>
      <x:c r="L7" s="41" t="n">
        <x:f>K7-J7</x:f>
        <x:v>0</x:v>
      </x:c>
    </x:row>
    <x:row r="8" ht="15" hidden="0" customHeight="1">
      <x:c r="A8" s="38" t="n">
        <x:v>11</x:v>
      </x:c>
      <x:c r="B8" s="38" t="str">
        <x:v>1.3</x:v>
      </x:c>
      <x:c r="C8" s="38" t="str">
        <x:v>Configuración inicial GitFlow</x:v>
      </x:c>
      <x:c r="D8" s="40" t="n">
        <x:v>46143</x:v>
      </x:c>
      <x:c r="E8" s="40" t="n">
        <x:v>46143</x:v>
      </x:c>
      <x:c r="F8" s="38" t="n">
        <x:v>1</x:v>
      </x:c>
      <x:c r="G8" s="40" t="str"/>
      <x:c r="H8" s="40" t="str"/>
      <x:c r="I8" s="38" t="str"/>
      <x:c r="J8" s="41" t="n">
        <x:v>20</x:v>
      </x:c>
      <x:c r="K8" s="41" t="n">
        <x:f>IF(I8="",J8,I8*1*20)</x:f>
        <x:v>20</x:v>
      </x:c>
      <x:c r="L8" s="41" t="n">
        <x:f>K8-J8</x:f>
        <x:v>0</x:v>
      </x:c>
    </x:row>
    <x:row r="9" ht="15" hidden="0" customHeight="1">
      <x:c r="A9" s="42" t="n">
        <x:v>1</x:v>
      </x:c>
      <x:c r="B9" s="42" t="str">
        <x:v>2</x:v>
      </x:c>
      <x:c r="C9" s="42" t="str">
        <x:v>Análisis y planificación</x:v>
      </x:c>
      <x:c r="D9" s="48" t="n">
        <x:v>46142</x:v>
      </x:c>
      <x:c r="E9" s="48" t="n">
        <x:v>46146</x:v>
      </x:c>
      <x:c r="F9" s="42" t="n">
        <x:v>3</x:v>
      </x:c>
      <x:c r="G9" s="48" t="str"/>
      <x:c r="H9" s="48" t="str"/>
      <x:c r="I9" s="42" t="str"/>
      <x:c r="J9" s="43" t="n">
        <x:v>100</x:v>
      </x:c>
      <x:c r="K9" s="43" t="n">
        <x:f>J9</x:f>
        <x:v>100</x:v>
      </x:c>
      <x:c r="L9" s="43" t="n">
        <x:f>K9-J9</x:f>
        <x:v>0</x:v>
      </x:c>
    </x:row>
    <x:row r="10" ht="15" hidden="0" customHeight="1">
      <x:c r="A10" s="38" t="n">
        <x:v>12</x:v>
      </x:c>
      <x:c r="B10" s="38" t="str">
        <x:v>2.1</x:v>
      </x:c>
      <x:c r="C10" s="38" t="str">
        <x:v>Análisis de requisitos</x:v>
      </x:c>
      <x:c r="D10" s="40" t="n">
        <x:v>46142</x:v>
      </x:c>
      <x:c r="E10" s="40" t="n">
        <x:v>46142</x:v>
      </x:c>
      <x:c r="F10" s="38" t="n">
        <x:v>1</x:v>
      </x:c>
      <x:c r="G10" s="40" t="str"/>
      <x:c r="H10" s="40" t="str"/>
      <x:c r="I10" s="38" t="str"/>
      <x:c r="J10" s="41" t="n">
        <x:v>40</x:v>
      </x:c>
      <x:c r="K10" s="41" t="n">
        <x:f>IF(I10="",J10,I10*2*20)</x:f>
        <x:v>40</x:v>
      </x:c>
      <x:c r="L10" s="41" t="n">
        <x:f>K10-J10</x:f>
        <x:v>0</x:v>
      </x:c>
    </x:row>
    <x:row r="11" ht="15" hidden="0" customHeight="1">
      <x:c r="A11" s="38" t="n">
        <x:v>9</x:v>
      </x:c>
      <x:c r="B11" s="38" t="str">
        <x:v>2.2</x:v>
      </x:c>
      <x:c r="C11" s="38" t="str">
        <x:v>Definición de tareas del proyecto</x:v>
      </x:c>
      <x:c r="D11" s="40" t="n">
        <x:v>46143</x:v>
      </x:c>
      <x:c r="E11" s="40" t="n">
        <x:v>46143</x:v>
      </x:c>
      <x:c r="F11" s="38" t="n">
        <x:v>1</x:v>
      </x:c>
      <x:c r="G11" s="40" t="str"/>
      <x:c r="H11" s="40" t="str"/>
      <x:c r="I11" s="38" t="str"/>
      <x:c r="J11" s="41" t="n">
        <x:v>40</x:v>
      </x:c>
      <x:c r="K11" s="41" t="n">
        <x:f>IF(I11="",J11,I11*2*20)</x:f>
        <x:v>40</x:v>
      </x:c>
      <x:c r="L11" s="41" t="n">
        <x:f>K11-J11</x:f>
        <x:v>0</x:v>
      </x:c>
    </x:row>
    <x:row r="12" ht="15" hidden="0" customHeight="1">
      <x:c r="A12" s="38" t="n">
        <x:v>13</x:v>
      </x:c>
      <x:c r="B12" s="38" t="str">
        <x:v>2.3</x:v>
      </x:c>
      <x:c r="C12" s="38" t="str">
        <x:v>Creación del Gantt inicial y línea base</x:v>
      </x:c>
      <x:c r="D12" s="40" t="n">
        <x:v>46146</x:v>
      </x:c>
      <x:c r="E12" s="40" t="n">
        <x:v>46146</x:v>
      </x:c>
      <x:c r="F12" s="38" t="n">
        <x:v>1</x:v>
      </x:c>
      <x:c r="G12" s="40" t="str"/>
      <x:c r="H12" s="40" t="str"/>
      <x:c r="I12" s="38" t="str"/>
      <x:c r="J12" s="41" t="n">
        <x:v>20</x:v>
      </x:c>
      <x:c r="K12" s="41" t="n">
        <x:f>IF(I12="",J12,I12*1*20)</x:f>
        <x:v>20</x:v>
      </x:c>
      <x:c r="L12" s="41" t="n">
        <x:f>K12-J12</x:f>
        <x:v>0</x:v>
      </x:c>
    </x:row>
    <x:row r="13" ht="15" hidden="0" customHeight="1">
      <x:c r="A13" s="42" t="n">
        <x:v>2</x:v>
      </x:c>
      <x:c r="B13" s="42" t="str">
        <x:v>3</x:v>
      </x:c>
      <x:c r="C13" s="42" t="str">
        <x:v>Base de datos</x:v>
      </x:c>
      <x:c r="D13" s="48" t="n">
        <x:v>46143</x:v>
      </x:c>
      <x:c r="E13" s="48" t="n">
        <x:v>46149</x:v>
      </x:c>
      <x:c r="F13" s="42" t="n">
        <x:v>5</x:v>
      </x:c>
      <x:c r="G13" s="48" t="str"/>
      <x:c r="H13" s="48" t="str"/>
      <x:c r="I13" s="42" t="str"/>
      <x:c r="J13" s="43" t="n">
        <x:v>100</x:v>
      </x:c>
      <x:c r="K13" s="43" t="n">
        <x:f>J13</x:f>
        <x:v>100</x:v>
      </x:c>
      <x:c r="L13" s="43" t="n">
        <x:f>K13-J13</x:f>
        <x:v>0</x:v>
      </x:c>
    </x:row>
    <x:row r="14" ht="15" hidden="0" customHeight="1">
      <x:c r="A14" s="38" t="n">
        <x:v>14</x:v>
      </x:c>
      <x:c r="B14" s="38" t="str">
        <x:v>3.1</x:v>
      </x:c>
      <x:c r="C14" s="38" t="str">
        <x:v>Diseño Entidad-Relación</x:v>
      </x:c>
      <x:c r="D14" s="40" t="n">
        <x:v>46143</x:v>
      </x:c>
      <x:c r="E14" s="40" t="n">
        <x:v>46143</x:v>
      </x:c>
      <x:c r="F14" s="38" t="n">
        <x:v>1</x:v>
      </x:c>
      <x:c r="G14" s="40" t="str"/>
      <x:c r="H14" s="40" t="str"/>
      <x:c r="I14" s="38" t="str"/>
      <x:c r="J14" s="41" t="n">
        <x:v>20</x:v>
      </x:c>
      <x:c r="K14" s="41" t="n">
        <x:f>IF(I14="",J14,I14*1*20)</x:f>
        <x:v>20</x:v>
      </x:c>
      <x:c r="L14" s="41" t="n">
        <x:f>K14-J14</x:f>
        <x:v>0</x:v>
      </x:c>
    </x:row>
    <x:row r="15" ht="15" hidden="0" customHeight="1">
      <x:c r="A15" s="38" t="n">
        <x:v>15</x:v>
      </x:c>
      <x:c r="B15" s="38" t="str">
        <x:v>3.2</x:v>
      </x:c>
      <x:c r="C15" s="38" t="str">
        <x:v>Diseño del modelo relacional</x:v>
      </x:c>
      <x:c r="D15" s="40" t="n">
        <x:v>46146</x:v>
      </x:c>
      <x:c r="E15" s="40" t="n">
        <x:v>46146</x:v>
      </x:c>
      <x:c r="F15" s="38" t="n">
        <x:v>1</x:v>
      </x:c>
      <x:c r="G15" s="40" t="str"/>
      <x:c r="H15" s="40" t="str"/>
      <x:c r="I15" s="38" t="str"/>
      <x:c r="J15" s="41" t="n">
        <x:v>20</x:v>
      </x:c>
      <x:c r="K15" s="41" t="n">
        <x:f>IF(I15="",J15,I15*1*20)</x:f>
        <x:v>20</x:v>
      </x:c>
      <x:c r="L15" s="41" t="n">
        <x:f>K15-J15</x:f>
        <x:v>0</x:v>
      </x:c>
    </x:row>
    <x:row r="16" ht="15" hidden="0" customHeight="1">
      <x:c r="A16" s="38" t="n">
        <x:v>16</x:v>
      </x:c>
      <x:c r="B16" s="38" t="str">
        <x:v>3.3</x:v>
      </x:c>
      <x:c r="C16" s="38" t="str">
        <x:v>Diseño del esquema físico</x:v>
      </x:c>
      <x:c r="D16" s="40" t="n">
        <x:v>46147</x:v>
      </x:c>
      <x:c r="E16" s="40" t="n">
        <x:v>46147</x:v>
      </x:c>
      <x:c r="F16" s="38" t="n">
        <x:v>1</x:v>
      </x:c>
      <x:c r="G16" s="40" t="str"/>
      <x:c r="H16" s="40" t="str"/>
      <x:c r="I16" s="38" t="str"/>
      <x:c r="J16" s="41" t="n">
        <x:v>20</x:v>
      </x:c>
      <x:c r="K16" s="41" t="n">
        <x:f>IF(I16="",J16,I16*1*20)</x:f>
        <x:v>20</x:v>
      </x:c>
      <x:c r="L16" s="41" t="n">
        <x:f>K16-J16</x:f>
        <x:v>0</x:v>
      </x:c>
    </x:row>
    <x:row r="17" ht="15" hidden="0" customHeight="1">
      <x:c r="A17" s="38" t="n">
        <x:v>17</x:v>
      </x:c>
      <x:c r="B17" s="38" t="str">
        <x:v>3.4</x:v>
      </x:c>
      <x:c r="C17" s="38" t="str">
        <x:v>Creación de tablas SQL</x:v>
      </x:c>
      <x:c r="D17" s="40" t="n">
        <x:v>46148</x:v>
      </x:c>
      <x:c r="E17" s="40" t="n">
        <x:v>46148</x:v>
      </x:c>
      <x:c r="F17" s="38" t="n">
        <x:v>1</x:v>
      </x:c>
      <x:c r="G17" s="40" t="str"/>
      <x:c r="H17" s="40" t="str"/>
      <x:c r="I17" s="38" t="str"/>
      <x:c r="J17" s="41" t="n">
        <x:v>20</x:v>
      </x:c>
      <x:c r="K17" s="41" t="n">
        <x:f>IF(I17="",J17,I17*1*20)</x:f>
        <x:v>20</x:v>
      </x:c>
      <x:c r="L17" s="41" t="n">
        <x:f>K17-J17</x:f>
        <x:v>0</x:v>
      </x:c>
    </x:row>
    <x:row r="18" ht="15" hidden="0" customHeight="1">
      <x:c r="A18" s="38" t="n">
        <x:v>18</x:v>
      </x:c>
      <x:c r="B18" s="38" t="str">
        <x:v>3.5</x:v>
      </x:c>
      <x:c r="C18" s="38" t="str">
        <x:v>Pruebas de la base de datos</x:v>
      </x:c>
      <x:c r="D18" s="40" t="n">
        <x:v>46149</x:v>
      </x:c>
      <x:c r="E18" s="40" t="n">
        <x:v>46149</x:v>
      </x:c>
      <x:c r="F18" s="38" t="n">
        <x:v>1</x:v>
      </x:c>
      <x:c r="G18" s="40" t="str"/>
      <x:c r="H18" s="40" t="str"/>
      <x:c r="I18" s="38" t="str"/>
      <x:c r="J18" s="41" t="n">
        <x:v>20</x:v>
      </x:c>
      <x:c r="K18" s="41" t="n">
        <x:f>IF(I18="",J18,I18*1*20)</x:f>
        <x:v>20</x:v>
      </x:c>
      <x:c r="L18" s="41" t="n">
        <x:f>K18-J18</x:f>
        <x:v>0</x:v>
      </x:c>
    </x:row>
    <x:row r="19" ht="15" hidden="0" customHeight="1">
      <x:c r="A19" s="42" t="n">
        <x:v>3</x:v>
      </x:c>
      <x:c r="B19" s="42" t="str">
        <x:v>4</x:v>
      </x:c>
      <x:c r="C19" s="42" t="str">
        <x:v>Frontend HTML/CSS/JS</x:v>
      </x:c>
      <x:c r="D19" s="48" t="n">
        <x:v>46146</x:v>
      </x:c>
      <x:c r="E19" s="48" t="n">
        <x:v>46155</x:v>
      </x:c>
      <x:c r="F19" s="42" t="n">
        <x:v>8</x:v>
      </x:c>
      <x:c r="G19" s="48" t="str"/>
      <x:c r="H19" s="48" t="str"/>
      <x:c r="I19" s="42" t="str"/>
      <x:c r="J19" s="43" t="n">
        <x:v>200</x:v>
      </x:c>
      <x:c r="K19" s="43" t="n">
        <x:f>J19</x:f>
        <x:v>200</x:v>
      </x:c>
      <x:c r="L19" s="43" t="n">
        <x:f>K19-J19</x:f>
        <x:v>0</x:v>
      </x:c>
    </x:row>
    <x:row r="20" ht="15" hidden="0" customHeight="1">
      <x:c r="A20" s="38" t="n">
        <x:v>19</x:v>
      </x:c>
      <x:c r="B20" s="38" t="str">
        <x:v>4.1</x:v>
      </x:c>
      <x:c r="C20" s="38" t="str">
        <x:v>Estructura inicial de carpetas</x:v>
      </x:c>
      <x:c r="D20" s="40" t="n">
        <x:v>46146</x:v>
      </x:c>
      <x:c r="E20" s="40" t="n">
        <x:v>46146</x:v>
      </x:c>
      <x:c r="F20" s="38" t="n">
        <x:v>1</x:v>
      </x:c>
      <x:c r="G20" s="40" t="str"/>
      <x:c r="H20" s="40" t="str"/>
      <x:c r="I20" s="38" t="str"/>
      <x:c r="J20" s="41" t="n">
        <x:v>20</x:v>
      </x:c>
      <x:c r="K20" s="41" t="n">
        <x:f>IF(I20="",J20,I20*1*20)</x:f>
        <x:v>20</x:v>
      </x:c>
      <x:c r="L20" s="41" t="n">
        <x:f>K20-J20</x:f>
        <x:v>0</x:v>
      </x:c>
    </x:row>
    <x:row r="21" ht="15" hidden="0" customHeight="1">
      <x:c r="A21" s="38" t="n">
        <x:v>20</x:v>
      </x:c>
      <x:c r="B21" s="38" t="str">
        <x:v>4.2</x:v>
      </x:c>
      <x:c r="C21" s="38" t="str">
        <x:v>Diseño de página Home</x:v>
      </x:c>
      <x:c r="D21" s="40" t="n">
        <x:v>46147</x:v>
      </x:c>
      <x:c r="E21" s="40" t="n">
        <x:v>46147</x:v>
      </x:c>
      <x:c r="F21" s="38" t="n">
        <x:v>1</x:v>
      </x:c>
      <x:c r="G21" s="40" t="str"/>
      <x:c r="H21" s="40" t="str"/>
      <x:c r="I21" s="38" t="str"/>
      <x:c r="J21" s="41" t="n">
        <x:v>20</x:v>
      </x:c>
      <x:c r="K21" s="41" t="n">
        <x:f>IF(I21="",J21,I21*1*20)</x:f>
        <x:v>20</x:v>
      </x:c>
      <x:c r="L21" s="41" t="n">
        <x:f>K21-J21</x:f>
        <x:v>0</x:v>
      </x:c>
    </x:row>
    <x:row r="22" ht="15" hidden="0" customHeight="1">
      <x:c r="A22" s="38" t="n">
        <x:v>21</x:v>
      </x:c>
      <x:c r="B22" s="38" t="str">
        <x:v>4.3</x:v>
      </x:c>
      <x:c r="C22" s="38" t="str">
        <x:v>Formulario de usuario y pasaporte</x:v>
      </x:c>
      <x:c r="D22" s="40" t="n">
        <x:v>46148</x:v>
      </x:c>
      <x:c r="E22" s="40" t="n">
        <x:v>46148</x:v>
      </x:c>
      <x:c r="F22" s="38" t="n">
        <x:v>1</x:v>
      </x:c>
      <x:c r="G22" s="40" t="str"/>
      <x:c r="H22" s="40" t="str"/>
      <x:c r="I22" s="38" t="str"/>
      <x:c r="J22" s="41" t="n">
        <x:v>40</x:v>
      </x:c>
      <x:c r="K22" s="41" t="n">
        <x:f>IF(I22="",J22,I22*2*20)</x:f>
        <x:v>40</x:v>
      </x:c>
      <x:c r="L22" s="41" t="n">
        <x:f>K22-J22</x:f>
        <x:v>0</x:v>
      </x:c>
    </x:row>
    <x:row r="23" ht="15" hidden="0" customHeight="1">
      <x:c r="A23" s="38" t="n">
        <x:v>22</x:v>
      </x:c>
      <x:c r="B23" s="38" t="str">
        <x:v>4.4</x:v>
      </x:c>
      <x:c r="C23" s="38" t="str">
        <x:v>Formulario de destino</x:v>
      </x:c>
      <x:c r="D23" s="40" t="n">
        <x:v>46149</x:v>
      </x:c>
      <x:c r="E23" s="40" t="n">
        <x:v>46149</x:v>
      </x:c>
      <x:c r="F23" s="38" t="n">
        <x:v>1</x:v>
      </x:c>
      <x:c r="G23" s="40" t="str"/>
      <x:c r="H23" s="40" t="str"/>
      <x:c r="I23" s="38" t="str"/>
      <x:c r="J23" s="41" t="n">
        <x:v>20</x:v>
      </x:c>
      <x:c r="K23" s="41" t="n">
        <x:f>IF(I23="",J23,I23*1*20)</x:f>
        <x:v>20</x:v>
      </x:c>
      <x:c r="L23" s="41" t="n">
        <x:f>K23-J23</x:f>
        <x:v>0</x:v>
      </x:c>
    </x:row>
    <x:row r="24" ht="15" hidden="0" customHeight="1">
      <x:c r="A24" s="38" t="n">
        <x:v>23</x:v>
      </x:c>
      <x:c r="B24" s="38" t="str">
        <x:v>4.5</x:v>
      </x:c>
      <x:c r="C24" s="38" t="str">
        <x:v>Formulario de guía</x:v>
      </x:c>
      <x:c r="D24" s="40" t="n">
        <x:v>46150</x:v>
      </x:c>
      <x:c r="E24" s="40" t="n">
        <x:v>46150</x:v>
      </x:c>
      <x:c r="F24" s="38" t="n">
        <x:v>1</x:v>
      </x:c>
      <x:c r="G24" s="40" t="str"/>
      <x:c r="H24" s="40" t="str"/>
      <x:c r="I24" s="38" t="str"/>
      <x:c r="J24" s="41" t="n">
        <x:v>20</x:v>
      </x:c>
      <x:c r="K24" s="41" t="n">
        <x:f>IF(I24="",J24,I24*1*20)</x:f>
        <x:v>20</x:v>
      </x:c>
      <x:c r="L24" s="41" t="n">
        <x:f>K24-J24</x:f>
        <x:v>0</x:v>
      </x:c>
    </x:row>
    <x:row r="25" ht="15" hidden="0" customHeight="1">
      <x:c r="A25" s="38" t="n">
        <x:v>24</x:v>
      </x:c>
      <x:c r="B25" s="38" t="str">
        <x:v>4.6</x:v>
      </x:c>
      <x:c r="C25" s="38" t="str">
        <x:v>Página de listado de destinos</x:v>
      </x:c>
      <x:c r="D25" s="40" t="n">
        <x:v>46153</x:v>
      </x:c>
      <x:c r="E25" s="40" t="n">
        <x:v>46153</x:v>
      </x:c>
      <x:c r="F25" s="38" t="n">
        <x:v>1</x:v>
      </x:c>
      <x:c r="G25" s="40" t="str"/>
      <x:c r="H25" s="40" t="str"/>
      <x:c r="I25" s="38" t="str"/>
      <x:c r="J25" s="41" t="n">
        <x:v>20</x:v>
      </x:c>
      <x:c r="K25" s="41" t="n">
        <x:f>IF(I25="",J25,I25*1*20)</x:f>
        <x:v>20</x:v>
      </x:c>
      <x:c r="L25" s="41" t="n">
        <x:f>K25-J25</x:f>
        <x:v>0</x:v>
      </x:c>
    </x:row>
    <x:row r="26" ht="15" hidden="0" customHeight="1">
      <x:c r="A26" s="38" t="n">
        <x:v>25</x:v>
      </x:c>
      <x:c r="B26" s="38" t="str">
        <x:v>4.7</x:v>
      </x:c>
      <x:c r="C26" s="38" t="str">
        <x:v>Página de listado de usuarios</x:v>
      </x:c>
      <x:c r="D26" s="40" t="n">
        <x:v>46154</x:v>
      </x:c>
      <x:c r="E26" s="40" t="n">
        <x:v>46154</x:v>
      </x:c>
      <x:c r="F26" s="38" t="n">
        <x:v>1</x:v>
      </x:c>
      <x:c r="G26" s="40" t="str"/>
      <x:c r="H26" s="40" t="str"/>
      <x:c r="I26" s="38" t="str"/>
      <x:c r="J26" s="41" t="n">
        <x:v>20</x:v>
      </x:c>
      <x:c r="K26" s="41" t="n">
        <x:f>IF(I26="",J26,I26*1*20)</x:f>
        <x:v>20</x:v>
      </x:c>
      <x:c r="L26" s="41" t="n">
        <x:f>K26-J26</x:f>
        <x:v>0</x:v>
      </x:c>
    </x:row>
    <x:row r="27" ht="15" hidden="0" customHeight="1">
      <x:c r="A27" s="38" t="n">
        <x:v>26</x:v>
      </x:c>
      <x:c r="B27" s="38" t="str">
        <x:v>4.8</x:v>
      </x:c>
      <x:c r="C27" s="38" t="str">
        <x:v>Validaciones JS y mensajes</x:v>
      </x:c>
      <x:c r="D27" s="40" t="n">
        <x:v>46155</x:v>
      </x:c>
      <x:c r="E27" s="40" t="n">
        <x:v>46155</x:v>
      </x:c>
      <x:c r="F27" s="38" t="n">
        <x:v>1</x:v>
      </x:c>
      <x:c r="G27" s="40" t="str"/>
      <x:c r="H27" s="40" t="str"/>
      <x:c r="I27" s="38" t="str"/>
      <x:c r="J27" s="41" t="n">
        <x:v>40</x:v>
      </x:c>
      <x:c r="K27" s="41" t="n">
        <x:f>IF(I27="",J27,I27*2*20)</x:f>
        <x:v>40</x:v>
      </x:c>
      <x:c r="L27" s="41" t="n">
        <x:f>K27-J27</x:f>
        <x:v>0</x:v>
      </x:c>
    </x:row>
    <x:row r="28" ht="15" hidden="0" customHeight="1">
      <x:c r="A28" s="42" t="n">
        <x:v>4</x:v>
      </x:c>
      <x:c r="B28" s="42" t="str">
        <x:v>5</x:v>
      </x:c>
      <x:c r="C28" s="42" t="str">
        <x:v>Backend Java</x:v>
      </x:c>
      <x:c r="D28" s="48" t="n">
        <x:v>46149</x:v>
      </x:c>
      <x:c r="E28" s="48" t="n">
        <x:v>46160</x:v>
      </x:c>
      <x:c r="F28" s="42" t="n">
        <x:v>8</x:v>
      </x:c>
      <x:c r="G28" s="48" t="str"/>
      <x:c r="H28" s="48" t="str"/>
      <x:c r="I28" s="42" t="str"/>
      <x:c r="J28" s="43" t="n">
        <x:v>200</x:v>
      </x:c>
      <x:c r="K28" s="43" t="n">
        <x:f>J28</x:f>
        <x:v>200</x:v>
      </x:c>
      <x:c r="L28" s="43" t="n">
        <x:f>K28-J28</x:f>
        <x:v>0</x:v>
      </x:c>
    </x:row>
    <x:row r="29" ht="15" hidden="0" customHeight="1">
      <x:c r="A29" s="38" t="n">
        <x:v>27</x:v>
      </x:c>
      <x:c r="B29" s="38" t="str">
        <x:v>5.1</x:v>
      </x:c>
      <x:c r="C29" s="38" t="str">
        <x:v>Revisión del backend proporcionado</x:v>
      </x:c>
      <x:c r="D29" s="40" t="n">
        <x:v>46149</x:v>
      </x:c>
      <x:c r="E29" s="40" t="n">
        <x:v>46149</x:v>
      </x:c>
      <x:c r="F29" s="38" t="n">
        <x:v>1</x:v>
      </x:c>
      <x:c r="G29" s="40" t="str"/>
      <x:c r="H29" s="40" t="str"/>
      <x:c r="I29" s="38" t="str"/>
      <x:c r="J29" s="41" t="n">
        <x:v>40</x:v>
      </x:c>
      <x:c r="K29" s="41" t="n">
        <x:f>IF(I29="",J29,I29*2*20)</x:f>
        <x:v>40</x:v>
      </x:c>
      <x:c r="L29" s="41" t="n">
        <x:f>K29-J29</x:f>
        <x:v>0</x:v>
      </x:c>
    </x:row>
    <x:row r="30" ht="15" hidden="0" customHeight="1">
      <x:c r="A30" s="38" t="n">
        <x:v>28</x:v>
      </x:c>
      <x:c r="B30" s="38" t="str">
        <x:v>5.2</x:v>
      </x:c>
      <x:c r="C30" s="38" t="str">
        <x:v>Entidad Usuario</x:v>
      </x:c>
      <x:c r="D30" s="40" t="n">
        <x:v>46150</x:v>
      </x:c>
      <x:c r="E30" s="40" t="n">
        <x:v>46150</x:v>
      </x:c>
      <x:c r="F30" s="38" t="n">
        <x:v>1</x:v>
      </x:c>
      <x:c r="G30" s="40" t="str"/>
      <x:c r="H30" s="40" t="str"/>
      <x:c r="I30" s="38" t="str"/>
      <x:c r="J30" s="41" t="n">
        <x:v>20</x:v>
      </x:c>
      <x:c r="K30" s="41" t="n">
        <x:f>IF(I30="",J30,I30*1*20)</x:f>
        <x:v>20</x:v>
      </x:c>
      <x:c r="L30" s="41" t="n">
        <x:f>K30-J30</x:f>
        <x:v>0</x:v>
      </x:c>
    </x:row>
    <x:row r="31" ht="15" hidden="0" customHeight="1">
      <x:c r="A31" s="38" t="n">
        <x:v>29</x:v>
      </x:c>
      <x:c r="B31" s="38" t="str">
        <x:v>5.3</x:v>
      </x:c>
      <x:c r="C31" s="38" t="str">
        <x:v>Entidad Destino</x:v>
      </x:c>
      <x:c r="D31" s="40" t="n">
        <x:v>46153</x:v>
      </x:c>
      <x:c r="E31" s="40" t="n">
        <x:v>46153</x:v>
      </x:c>
      <x:c r="F31" s="38" t="n">
        <x:v>1</x:v>
      </x:c>
      <x:c r="G31" s="40" t="str"/>
      <x:c r="H31" s="40" t="str"/>
      <x:c r="I31" s="38" t="str"/>
      <x:c r="J31" s="41" t="n">
        <x:v>20</x:v>
      </x:c>
      <x:c r="K31" s="41" t="n">
        <x:f>IF(I31="",J31,I31*1*20)</x:f>
        <x:v>20</x:v>
      </x:c>
      <x:c r="L31" s="41" t="n">
        <x:f>K31-J31</x:f>
        <x:v>0</x:v>
      </x:c>
    </x:row>
    <x:row r="32" ht="15" hidden="0" customHeight="1">
      <x:c r="A32" s="38" t="n">
        <x:v>30</x:v>
      </x:c>
      <x:c r="B32" s="38" t="str">
        <x:v>5.4</x:v>
      </x:c>
      <x:c r="C32" s="38" t="str">
        <x:v>Entidad Guía</x:v>
      </x:c>
      <x:c r="D32" s="40" t="n">
        <x:v>46154</x:v>
      </x:c>
      <x:c r="E32" s="40" t="n">
        <x:v>46154</x:v>
      </x:c>
      <x:c r="F32" s="38" t="n">
        <x:v>1</x:v>
      </x:c>
      <x:c r="G32" s="40" t="str"/>
      <x:c r="H32" s="40" t="str"/>
      <x:c r="I32" s="38" t="str"/>
      <x:c r="J32" s="41" t="n">
        <x:v>20</x:v>
      </x:c>
      <x:c r="K32" s="41" t="n">
        <x:f>IF(I32="",J32,I32*1*20)</x:f>
        <x:v>20</x:v>
      </x:c>
      <x:c r="L32" s="41" t="n">
        <x:f>K32-J32</x:f>
        <x:v>0</x:v>
      </x:c>
    </x:row>
    <x:row r="33" ht="15" hidden="0" customHeight="1">
      <x:c r="A33" s="38" t="n">
        <x:v>31</x:v>
      </x:c>
      <x:c r="B33" s="38" t="str">
        <x:v>5.5</x:v>
      </x:c>
      <x:c r="C33" s="38" t="str">
        <x:v>UsuarioController, Service y Repository</x:v>
      </x:c>
      <x:c r="D33" s="40" t="n">
        <x:v>46155</x:v>
      </x:c>
      <x:c r="E33" s="40" t="n">
        <x:v>46155</x:v>
      </x:c>
      <x:c r="F33" s="38" t="n">
        <x:v>1</x:v>
      </x:c>
      <x:c r="G33" s="40" t="str"/>
      <x:c r="H33" s="40" t="str"/>
      <x:c r="I33" s="38" t="str"/>
      <x:c r="J33" s="41" t="n">
        <x:v>20</x:v>
      </x:c>
      <x:c r="K33" s="41" t="n">
        <x:f>IF(I33="",J33,I33*1*20)</x:f>
        <x:v>20</x:v>
      </x:c>
      <x:c r="L33" s="41" t="n">
        <x:f>K33-J33</x:f>
        <x:v>0</x:v>
      </x:c>
    </x:row>
    <x:row r="34" ht="15" hidden="0" customHeight="1">
      <x:c r="A34" s="38" t="n">
        <x:v>32</x:v>
      </x:c>
      <x:c r="B34" s="38" t="str">
        <x:v>5.6</x:v>
      </x:c>
      <x:c r="C34" s="38" t="str">
        <x:v>DestinoController, Service y Repository</x:v>
      </x:c>
      <x:c r="D34" s="40" t="n">
        <x:v>46156</x:v>
      </x:c>
      <x:c r="E34" s="40" t="n">
        <x:v>46156</x:v>
      </x:c>
      <x:c r="F34" s="38" t="n">
        <x:v>1</x:v>
      </x:c>
      <x:c r="G34" s="40" t="str"/>
      <x:c r="H34" s="40" t="str"/>
      <x:c r="I34" s="38" t="str"/>
      <x:c r="J34" s="41" t="n">
        <x:v>20</x:v>
      </x:c>
      <x:c r="K34" s="41" t="n">
        <x:f>IF(I34="",J34,I34*1*20)</x:f>
        <x:v>20</x:v>
      </x:c>
      <x:c r="L34" s="41" t="n">
        <x:f>K34-J34</x:f>
        <x:v>0</x:v>
      </x:c>
    </x:row>
    <x:row r="35" ht="15" hidden="0" customHeight="1">
      <x:c r="A35" s="38" t="n">
        <x:v>33</x:v>
      </x:c>
      <x:c r="B35" s="38" t="str">
        <x:v>5.7</x:v>
      </x:c>
      <x:c r="C35" s="38" t="str">
        <x:v>GuiaController, Service y Repository</x:v>
      </x:c>
      <x:c r="D35" s="40" t="n">
        <x:v>46157</x:v>
      </x:c>
      <x:c r="E35" s="40" t="n">
        <x:v>46157</x:v>
      </x:c>
      <x:c r="F35" s="38" t="n">
        <x:v>1</x:v>
      </x:c>
      <x:c r="G35" s="40" t="str"/>
      <x:c r="H35" s="40" t="str"/>
      <x:c r="I35" s="38" t="str"/>
      <x:c r="J35" s="41" t="n">
        <x:v>20</x:v>
      </x:c>
      <x:c r="K35" s="41" t="n">
        <x:f>IF(I35="",J35,I35*1*20)</x:f>
        <x:v>20</x:v>
      </x:c>
      <x:c r="L35" s="41" t="n">
        <x:f>K35-J35</x:f>
        <x:v>0</x:v>
      </x:c>
    </x:row>
    <x:row r="36" ht="15" hidden="0" customHeight="1">
      <x:c r="A36" s="38" t="n">
        <x:v>34</x:v>
      </x:c>
      <x:c r="B36" s="38" t="str">
        <x:v>5.8</x:v>
      </x:c>
      <x:c r="C36" s="38" t="str">
        <x:v>Pruebas de endpoints REST</x:v>
      </x:c>
      <x:c r="D36" s="40" t="n">
        <x:v>46160</x:v>
      </x:c>
      <x:c r="E36" s="40" t="n">
        <x:v>46160</x:v>
      </x:c>
      <x:c r="F36" s="38" t="n">
        <x:v>1</x:v>
      </x:c>
      <x:c r="G36" s="40" t="str"/>
      <x:c r="H36" s="40" t="str"/>
      <x:c r="I36" s="38" t="str"/>
      <x:c r="J36" s="41" t="n">
        <x:v>40</x:v>
      </x:c>
      <x:c r="K36" s="41" t="n">
        <x:f>IF(I36="",J36,I36*2*20)</x:f>
        <x:v>40</x:v>
      </x:c>
      <x:c r="L36" s="41" t="n">
        <x:f>K36-J36</x:f>
        <x:v>0</x:v>
      </x:c>
    </x:row>
    <x:row r="37" ht="15" hidden="0" customHeight="1">
      <x:c r="A37" s="42" t="n">
        <x:v>5</x:v>
      </x:c>
      <x:c r="B37" s="42" t="str">
        <x:v>6</x:v>
      </x:c>
      <x:c r="C37" s="42" t="str">
        <x:v>Integración frontend-backend</x:v>
      </x:c>
      <x:c r="D37" s="48" t="n">
        <x:v>46161</x:v>
      </x:c>
      <x:c r="E37" s="48" t="n">
        <x:v>46164</x:v>
      </x:c>
      <x:c r="F37" s="42" t="n">
        <x:v>4</x:v>
      </x:c>
      <x:c r="G37" s="48" t="str"/>
      <x:c r="H37" s="48" t="str"/>
      <x:c r="I37" s="42" t="str"/>
      <x:c r="J37" s="43" t="n">
        <x:v>160</x:v>
      </x:c>
      <x:c r="K37" s="43" t="n">
        <x:f>J37</x:f>
        <x:v>160</x:v>
      </x:c>
      <x:c r="L37" s="43" t="n">
        <x:f>K37-J37</x:f>
        <x:v>0</x:v>
      </x:c>
    </x:row>
    <x:row r="38" ht="15" hidden="0" customHeight="1">
      <x:c r="A38" s="38" t="n">
        <x:v>35</x:v>
      </x:c>
      <x:c r="B38" s="38" t="str">
        <x:v>6.1</x:v>
      </x:c>
      <x:c r="C38" s="38" t="str">
        <x:v>Conexión formularios con backend</x:v>
      </x:c>
      <x:c r="D38" s="40" t="n">
        <x:v>46161</x:v>
      </x:c>
      <x:c r="E38" s="40" t="n">
        <x:v>46161</x:v>
      </x:c>
      <x:c r="F38" s="38" t="n">
        <x:v>1</x:v>
      </x:c>
      <x:c r="G38" s="40" t="str"/>
      <x:c r="H38" s="40" t="str"/>
      <x:c r="I38" s="38" t="str"/>
      <x:c r="J38" s="41" t="n">
        <x:v>40</x:v>
      </x:c>
      <x:c r="K38" s="41" t="n">
        <x:f>IF(I38="",J38,I38*2*20)</x:f>
        <x:v>40</x:v>
      </x:c>
      <x:c r="L38" s="41" t="n">
        <x:f>K38-J38</x:f>
        <x:v>0</x:v>
      </x:c>
    </x:row>
    <x:row r="39" ht="15" hidden="0" customHeight="1">
      <x:c r="A39" s="38" t="n">
        <x:v>36</x:v>
      </x:c>
      <x:c r="B39" s="38" t="str">
        <x:v>6.2</x:v>
      </x:c>
      <x:c r="C39" s="38" t="str">
        <x:v>Conexión listados con backend</x:v>
      </x:c>
      <x:c r="D39" s="40" t="n">
        <x:v>46162</x:v>
      </x:c>
      <x:c r="E39" s="40" t="n">
        <x:v>46162</x:v>
      </x:c>
      <x:c r="F39" s="38" t="n">
        <x:v>1</x:v>
      </x:c>
      <x:c r="G39" s="40" t="str"/>
      <x:c r="H39" s="40" t="str"/>
      <x:c r="I39" s="38" t="str"/>
      <x:c r="J39" s="41" t="n">
        <x:v>40</x:v>
      </x:c>
      <x:c r="K39" s="41" t="n">
        <x:f>IF(I39="",J39,I39*2*20)</x:f>
        <x:v>40</x:v>
      </x:c>
      <x:c r="L39" s="41" t="n">
        <x:f>K39-J39</x:f>
        <x:v>0</x:v>
      </x:c>
    </x:row>
    <x:row r="40" ht="15" hidden="0" customHeight="1">
      <x:c r="A40" s="38" t="n">
        <x:v>37</x:v>
      </x:c>
      <x:c r="B40" s="38" t="str">
        <x:v>6.3</x:v>
      </x:c>
      <x:c r="C40" s="38" t="str">
        <x:v>Pruebas CRUD completas</x:v>
      </x:c>
      <x:c r="D40" s="40" t="n">
        <x:v>46163</x:v>
      </x:c>
      <x:c r="E40" s="40" t="n">
        <x:v>46163</x:v>
      </x:c>
      <x:c r="F40" s="38" t="n">
        <x:v>1</x:v>
      </x:c>
      <x:c r="G40" s="40" t="str"/>
      <x:c r="H40" s="40" t="str"/>
      <x:c r="I40" s="38" t="str"/>
      <x:c r="J40" s="41" t="n">
        <x:v>40</x:v>
      </x:c>
      <x:c r="K40" s="41" t="n">
        <x:f>IF(I40="",J40,I40*2*20)</x:f>
        <x:v>40</x:v>
      </x:c>
      <x:c r="L40" s="41" t="n">
        <x:f>K40-J40</x:f>
        <x:v>0</x:v>
      </x:c>
    </x:row>
    <x:row r="41" ht="15" hidden="0" customHeight="1">
      <x:c r="A41" s="38" t="n">
        <x:v>38</x:v>
      </x:c>
      <x:c r="B41" s="38" t="str">
        <x:v>6.4</x:v>
      </x:c>
      <x:c r="C41" s="38" t="str">
        <x:v>Corrección de errores de integración</x:v>
      </x:c>
      <x:c r="D41" s="40" t="n">
        <x:v>46164</x:v>
      </x:c>
      <x:c r="E41" s="40" t="n">
        <x:v>46164</x:v>
      </x:c>
      <x:c r="F41" s="38" t="n">
        <x:v>1</x:v>
      </x:c>
      <x:c r="G41" s="40" t="str"/>
      <x:c r="H41" s="40" t="str"/>
      <x:c r="I41" s="38" t="str"/>
      <x:c r="J41" s="41" t="n">
        <x:v>40</x:v>
      </x:c>
      <x:c r="K41" s="41" t="n">
        <x:f>IF(I41="",J41,I41*2*20)</x:f>
        <x:v>40</x:v>
      </x:c>
      <x:c r="L41" s="41" t="n">
        <x:f>K41-J41</x:f>
        <x:v>0</x:v>
      </x:c>
    </x:row>
    <x:row r="42" ht="15" hidden="0" customHeight="1">
      <x:c r="A42" s="42" t="n">
        <x:v>6</x:v>
      </x:c>
      <x:c r="B42" s="42" t="str">
        <x:v>7</x:v>
      </x:c>
      <x:c r="C42" s="42" t="str">
        <x:v>Documentación</x:v>
      </x:c>
      <x:c r="D42" s="48" t="n">
        <x:v>46147</x:v>
      </x:c>
      <x:c r="E42" s="48" t="n">
        <x:v>46167</x:v>
      </x:c>
      <x:c r="F42" s="42" t="n">
        <x:v>15</x:v>
      </x:c>
      <x:c r="G42" s="48" t="str"/>
      <x:c r="H42" s="48" t="str"/>
      <x:c r="I42" s="42" t="str"/>
      <x:c r="J42" s="43" t="n">
        <x:v>120</x:v>
      </x:c>
      <x:c r="K42" s="43" t="n">
        <x:f>J42</x:f>
        <x:v>120</x:v>
      </x:c>
      <x:c r="L42" s="43" t="n">
        <x:f>K42-J42</x:f>
        <x:v>0</x:v>
      </x:c>
    </x:row>
    <x:row r="43" ht="15" hidden="0" customHeight="1">
      <x:c r="A43" s="38" t="n">
        <x:v>39</x:v>
      </x:c>
      <x:c r="B43" s="38" t="str">
        <x:v>7.1</x:v>
      </x:c>
      <x:c r="C43" s="38" t="str">
        <x:v>Documentación de base de datos</x:v>
      </x:c>
      <x:c r="D43" s="40" t="n">
        <x:v>46150</x:v>
      </x:c>
      <x:c r="E43" s="40" t="n">
        <x:v>46150</x:v>
      </x:c>
      <x:c r="F43" s="38" t="n">
        <x:v>1</x:v>
      </x:c>
      <x:c r="G43" s="40" t="str"/>
      <x:c r="H43" s="40" t="str"/>
      <x:c r="I43" s="38" t="str"/>
      <x:c r="J43" s="41" t="n">
        <x:v>20</x:v>
      </x:c>
      <x:c r="K43" s="41" t="n">
        <x:f>IF(I43="",J43,I43*1*20)</x:f>
        <x:v>20</x:v>
      </x:c>
      <x:c r="L43" s="41" t="n">
        <x:f>K43-J43</x:f>
        <x:v>0</x:v>
      </x:c>
    </x:row>
    <x:row r="44" ht="15" hidden="0" customHeight="1">
      <x:c r="A44" s="38" t="n">
        <x:v>40</x:v>
      </x:c>
      <x:c r="B44" s="38" t="str">
        <x:v>7.2</x:v>
      </x:c>
      <x:c r="C44" s="38" t="str">
        <x:v>Capturas del Gantt inicial</x:v>
      </x:c>
      <x:c r="D44" s="40" t="n">
        <x:v>46153</x:v>
      </x:c>
      <x:c r="E44" s="40" t="n">
        <x:v>46153</x:v>
      </x:c>
      <x:c r="F44" s="38" t="n">
        <x:v>1</x:v>
      </x:c>
      <x:c r="G44" s="40" t="str"/>
      <x:c r="H44" s="40" t="str"/>
      <x:c r="I44" s="38" t="str"/>
      <x:c r="J44" s="41" t="n">
        <x:v>20</x:v>
      </x:c>
      <x:c r="K44" s="41" t="n">
        <x:f>IF(I44="",J44,I44*1*20)</x:f>
        <x:v>20</x:v>
      </x:c>
      <x:c r="L44" s="41" t="n">
        <x:f>K44-J44</x:f>
        <x:v>0</x:v>
      </x:c>
    </x:row>
    <x:row r="45" ht="15" hidden="0" customHeight="1">
      <x:c r="A45" s="38" t="n">
        <x:v>41</x:v>
      </x:c>
      <x:c r="B45" s="38" t="str">
        <x:v>7.3</x:v>
      </x:c>
      <x:c r="C45" s="38" t="str">
        <x:v>Documentación del desarrollo</x:v>
      </x:c>
      <x:c r="D45" s="40" t="n">
        <x:v>46164</x:v>
      </x:c>
      <x:c r="E45" s="40" t="n">
        <x:v>46164</x:v>
      </x:c>
      <x:c r="F45" s="38" t="n">
        <x:v>1</x:v>
      </x:c>
      <x:c r="G45" s="40" t="str"/>
      <x:c r="H45" s="40" t="str"/>
      <x:c r="I45" s="38" t="str"/>
      <x:c r="J45" s="41" t="n">
        <x:v>40</x:v>
      </x:c>
      <x:c r="K45" s="41" t="n">
        <x:f>IF(I45="",J45,I45*2*20)</x:f>
        <x:v>40</x:v>
      </x:c>
      <x:c r="L45" s="41" t="n">
        <x:f>K45-J45</x:f>
        <x:v>0</x:v>
      </x:c>
    </x:row>
    <x:row r="46" ht="15" hidden="0" customHeight="1">
      <x:c r="A46" s="38" t="n">
        <x:v>42</x:v>
      </x:c>
      <x:c r="B46" s="38" t="str">
        <x:v>7.4</x:v>
      </x:c>
      <x:c r="C46" s="38" t="str">
        <x:v>WBS con costes presupuestados</x:v>
      </x:c>
      <x:c r="D46" s="40" t="n">
        <x:v>46147</x:v>
      </x:c>
      <x:c r="E46" s="40" t="n">
        <x:v>46147</x:v>
      </x:c>
      <x:c r="F46" s="38" t="n">
        <x:v>1</x:v>
      </x:c>
      <x:c r="G46" s="40" t="str"/>
      <x:c r="H46" s="40" t="str"/>
      <x:c r="I46" s="38" t="str"/>
      <x:c r="J46" s="41" t="n">
        <x:v>20</x:v>
      </x:c>
      <x:c r="K46" s="41" t="n">
        <x:f>IF(I46="",J46,I46*1*20)</x:f>
        <x:v>20</x:v>
      </x:c>
      <x:c r="L46" s="41" t="n">
        <x:f>K46-J46</x:f>
        <x:v>0</x:v>
      </x:c>
    </x:row>
    <x:row r="47" ht="15" hidden="0" customHeight="1">
      <x:c r="A47" s="38" t="n">
        <x:v>43</x:v>
      </x:c>
      <x:c r="B47" s="38" t="str">
        <x:v>7.5</x:v>
      </x:c>
      <x:c r="C47" s="38" t="str">
        <x:v>Maquetación final de la memoria</x:v>
      </x:c>
      <x:c r="D47" s="40" t="n">
        <x:v>46167</x:v>
      </x:c>
      <x:c r="E47" s="40" t="n">
        <x:v>46167</x:v>
      </x:c>
      <x:c r="F47" s="38" t="n">
        <x:v>1</x:v>
      </x:c>
      <x:c r="G47" s="40" t="str"/>
      <x:c r="H47" s="40" t="str"/>
      <x:c r="I47" s="38" t="str"/>
      <x:c r="J47" s="41" t="n">
        <x:v>20</x:v>
      </x:c>
      <x:c r="K47" s="41" t="n">
        <x:f>IF(I47="",J47,I47*1*20)</x:f>
        <x:v>20</x:v>
      </x:c>
      <x:c r="L47" s="41" t="n">
        <x:f>K47-J47</x:f>
        <x:v>0</x:v>
      </x:c>
    </x:row>
    <x:row r="48" ht="15" hidden="0" customHeight="1">
      <x:c r="A48" s="42" t="n">
        <x:v>7</x:v>
      </x:c>
      <x:c r="B48" s="42" t="str">
        <x:v>8</x:v>
      </x:c>
      <x:c r="C48" s="42" t="str">
        <x:v>Revisión y entrega</x:v>
      </x:c>
      <x:c r="D48" s="48" t="n">
        <x:v>46168</x:v>
      </x:c>
      <x:c r="E48" s="48" t="n">
        <x:v>46170</x:v>
      </x:c>
      <x:c r="F48" s="42" t="n">
        <x:v>3</x:v>
      </x:c>
      <x:c r="G48" s="48" t="str"/>
      <x:c r="H48" s="48" t="str"/>
      <x:c r="I48" s="42" t="str"/>
      <x:c r="J48" s="43" t="n">
        <x:v>120</x:v>
      </x:c>
      <x:c r="K48" s="43" t="n">
        <x:f>J48</x:f>
        <x:v>120</x:v>
      </x:c>
      <x:c r="L48" s="43" t="n">
        <x:f>K48-J48</x:f>
        <x:v>0</x:v>
      </x:c>
    </x:row>
    <x:row r="49" ht="15" hidden="0" customHeight="1">
      <x:c r="A49" s="38" t="n">
        <x:v>44</x:v>
      </x:c>
      <x:c r="B49" s="38" t="str">
        <x:v>8.1</x:v>
      </x:c>
      <x:c r="C49" s="38" t="str">
        <x:v>Revisión general del proyecto</x:v>
      </x:c>
      <x:c r="D49" s="40" t="n">
        <x:v>46168</x:v>
      </x:c>
      <x:c r="E49" s="40" t="n">
        <x:v>46168</x:v>
      </x:c>
      <x:c r="F49" s="38" t="n">
        <x:v>1</x:v>
      </x:c>
      <x:c r="G49" s="40" t="str"/>
      <x:c r="H49" s="40" t="str"/>
      <x:c r="I49" s="38" t="str"/>
      <x:c r="J49" s="41" t="n">
        <x:v>40</x:v>
      </x:c>
      <x:c r="K49" s="41" t="n">
        <x:f>IF(I49="",J49,I49*2*20)</x:f>
        <x:v>40</x:v>
      </x:c>
      <x:c r="L49" s="41" t="n">
        <x:f>K49-J49</x:f>
        <x:v>0</x:v>
      </x:c>
    </x:row>
    <x:row r="50" ht="15" hidden="0" customHeight="1">
      <x:c r="A50" s="38" t="n">
        <x:v>45</x:v>
      </x:c>
      <x:c r="B50" s="38" t="str">
        <x:v>8.2</x:v>
      </x:c>
      <x:c r="C50" s="38" t="str">
        <x:v>Ajustes finales</x:v>
      </x:c>
      <x:c r="D50" s="40" t="n">
        <x:v>46169</x:v>
      </x:c>
      <x:c r="E50" s="40" t="n">
        <x:v>46169</x:v>
      </x:c>
      <x:c r="F50" s="38" t="n">
        <x:v>1</x:v>
      </x:c>
      <x:c r="G50" s="40" t="str"/>
      <x:c r="H50" s="40" t="str"/>
      <x:c r="I50" s="38" t="str"/>
      <x:c r="J50" s="41" t="n">
        <x:v>40</x:v>
      </x:c>
      <x:c r="K50" s="41" t="n">
        <x:f>IF(I50="",J50,I50*2*20)</x:f>
        <x:v>40</x:v>
      </x:c>
      <x:c r="L50" s="41" t="n">
        <x:f>K50-J50</x:f>
        <x:v>0</x:v>
      </x:c>
    </x:row>
    <x:row r="51" ht="15" hidden="0" customHeight="1">
      <x:c r="A51" s="38" t="n">
        <x:v>46</x:v>
      </x:c>
      <x:c r="B51" s="38" t="str">
        <x:v>8.3</x:v>
      </x:c>
      <x:c r="C51" s="38" t="str">
        <x:v>Entrega y preparación de exposición</x:v>
      </x:c>
      <x:c r="D51" s="40" t="n">
        <x:v>46170</x:v>
      </x:c>
      <x:c r="E51" s="40" t="n">
        <x:v>46170</x:v>
      </x:c>
      <x:c r="F51" s="38" t="n">
        <x:v>1</x:v>
      </x:c>
      <x:c r="G51" s="40" t="str"/>
      <x:c r="H51" s="40" t="str"/>
      <x:c r="I51" s="38" t="str"/>
      <x:c r="J51" s="41" t="n">
        <x:v>40</x:v>
      </x:c>
      <x:c r="K51" s="41" t="n">
        <x:f>IF(I51="",J51,I51*2*20)</x:f>
        <x:v>40</x:v>
      </x:c>
      <x:c r="L51" s="41" t="n">
        <x:f>K51-J51</x:f>
        <x:v>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47fbde055204b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90" hidden="0" customWidth="1"/>
  </x:cols>
  <x:sheetData>
    <x:row r="1" ht="19.53125" hidden="0" customHeight="1">
      <x:c r="A1" s="2" t="str">
        <x:v>Cómo usar este libro</x:v>
      </x:c>
      <x:c r="B1" s="2" t="str"/>
      <x:c r="C1" s="2" t="str"/>
      <x:c r="D1" s="2" t="str"/>
      <x:c r="E1" s="2" t="str"/>
      <x:c r="F1" s="2" t="str"/>
    </x:row>
    <x:row r="2"/>
    <x:row r="3" ht="15" hidden="0" customHeight="1">
      <x:c r="A3" s="12" t="str">
        <x:v>1</x:v>
      </x:c>
      <x:c r="B3" s="12" t="str">
        <x:v>WBS detalle</x:v>
      </x:c>
      <x:c r="C3" s="12" t="str">
        <x:v>Contiene todas las tareas exportadas del archivo .gan, con fechas, recursos, dependencias y coste presupuestado.</x:v>
      </x:c>
    </x:row>
    <x:row r="4" ht="15" hidden="0" customHeight="1">
      <x:c r="A4" s="54" t="str">
        <x:v>2</x:v>
      </x:c>
      <x:c r="B4" s="10" t="str">
        <x:v>Resumen</x:v>
      </x:c>
      <x:c r="C4" s="38" t="str">
        <x:v>Incluye la WBS resumida por bloques principales, total presupuestado y gráfico de costes.</x:v>
      </x:c>
    </x:row>
    <x:row r="5" ht="15" hidden="0" customHeight="1">
      <x:c r="A5" s="54" t="str">
        <x:v>3</x:v>
      </x:c>
      <x:c r="B5" s="10" t="str">
        <x:v>Recursos</x:v>
      </x:c>
      <x:c r="C5" s="38" t="str">
        <x:v>Resume los recursos Fran y Josan, tarifa estándar y coste/carga asignada.</x:v>
      </x:c>
    </x:row>
    <x:row r="6" ht="15" hidden="0" customHeight="1">
      <x:c r="A6" s="54" t="str">
        <x:v>4</x:v>
      </x:c>
      <x:c r="B6" s="10" t="str">
        <x:v>Asignaciones</x:v>
      </x:c>
      <x:c r="C6" s="38" t="str">
        <x:v>Desglosa cada asignación individual por recurso; de aquí salen los costes de Fran y Josan.</x:v>
      </x:c>
    </x:row>
    <x:row r="7" ht="15" hidden="0" customHeight="1">
      <x:c r="A7" s="54" t="str">
        <x:v>5</x:v>
      </x:c>
      <x:c r="B7" s="10" t="str">
        <x:v>Desviaciones final</x:v>
      </x:c>
      <x:c r="C7" s="38" t="str">
        <x:v>Cuando acabe el proyecto, rellenad Inicio real, Fin real y Duración real. El coste final y la desviación se calculan automáticamente.</x:v>
      </x:c>
    </x:row>
    <x:row r="8" ht="15" hidden="0" customHeight="1">
      <x:c r="A8" s="54" t="str">
        <x:v>6</x:v>
      </x:c>
      <x:c r="B8" s="10" t="str">
        <x:v>Costes</x:v>
      </x:c>
      <x:c r="C8" s="38" t="str">
        <x:v>La tarifa usada es 20 €/hora. Se ha mantenido el criterio exportado desde GanttProject: 1 día de tarea cuenta como una unidad de coste equivalente a 1 hora.</x:v>
      </x:c>
    </x:row>
    <x:row r="9" ht="15" hidden="0" customHeight="1">
      <x:c r="A9" s="54" t="str">
        <x:v>7</x:v>
      </x:c>
      <x:c r="B9" s="10" t="str">
        <x:v>Línea base</x:v>
      </x:c>
      <x:c r="C9" s="38" t="str">
        <x:v>Este Excel se ha generado a partir del archivo Gantt_Aplicacion_Web_Gestion_Turistica_LINEA_BASE.gan, usado como planificación inicial.</x:v>
      </x:c>
    </x:row>
  </x:sheetData>
  <x:mergeCells>
    <x:mergeCell ref="A1:F1"/>
  </x:mergeCells>
  <x:pageMargins left="0.7" right="0.7" top="0.75" bottom="0.75" header="0.3" footer="0.3"/>
</x:worksheet>
</file>